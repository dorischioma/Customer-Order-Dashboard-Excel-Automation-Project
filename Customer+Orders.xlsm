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\Desktop\Freelance Projects\Data Entry &amp; Cleaning\Customer + Orders\"/>
    </mc:Choice>
  </mc:AlternateContent>
  <xr:revisionPtr revIDLastSave="0" documentId="13_ncr:1_{966E5BBB-18F6-49CC-BBB2-3A591A4428EE}" xr6:coauthVersionLast="47" xr6:coauthVersionMax="47" xr10:uidLastSave="{00000000-0000-0000-0000-000000000000}"/>
  <bookViews>
    <workbookView xWindow="-120" yWindow="-120" windowWidth="20730" windowHeight="11040" activeTab="2" xr2:uid="{9E1190CB-FBCA-4DFD-92A5-80D8BF290735}"/>
  </bookViews>
  <sheets>
    <sheet name="Customer Info" sheetId="8" r:id="rId1"/>
    <sheet name="Order Info" sheetId="9" r:id="rId2"/>
    <sheet name="Customer Dashboard" sheetId="5" r:id="rId3"/>
  </sheets>
  <definedNames>
    <definedName name="_xlnm._FilterDatabase" localSheetId="2" hidden="1">'Customer Dashboard'!$B$15:$J$1674</definedName>
    <definedName name="_xlnm._FilterDatabase" localSheetId="1" hidden="1">'Order Info'!$A$1:$I$831</definedName>
    <definedName name="_xlcn.WorksheetConnection_CustomerDashboardB13H8431" hidden="1">'Customer Dashboard'!$B$15:$H$846</definedName>
    <definedName name="_xlcn.WorksheetConnection_CustomerOrders01.xlsxCustomerInfo1" hidden="1">'Customer Info'!$B$1:$K$92</definedName>
    <definedName name="_xlcn.WorksheetConnection_CustomerOrders01.xlsxOrderInfo1" hidden="1">'Customer Dashboard'!$B$15:$H$846</definedName>
    <definedName name="_xlnm.Criteria" localSheetId="2">'Customer Dashboard'!$B$2:$E$3</definedName>
    <definedName name="_xlnm.Extract" localSheetId="2">'Customer Dashboard'!#REF!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Info" name="OrderInfo" connection="WorksheetConnection_CustomerOrders-01.xlsx!OrderInfo"/>
          <x15:modelTable id="CustomerInfo" name="CustomerInfo" connection="WorksheetConnection_CustomerOrders-01.xlsx!CustomerInfo"/>
          <x15:modelTable id="Range" name="Range" connection="WorksheetConnection_Customer Dashboard!$B$13:$H$843"/>
        </x15:modelTables>
        <x15:modelRelationships>
          <x15:modelRelationship fromTable="OrderInfo" fromColumn="CustomerID" toTable="CustomerInfo" toColumn="Customer 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45" i="5" l="1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J626" i="5"/>
  <c r="J625" i="5"/>
  <c r="J624" i="5"/>
  <c r="J623" i="5"/>
  <c r="J622" i="5"/>
  <c r="J621" i="5"/>
  <c r="J620" i="5"/>
  <c r="J619" i="5"/>
  <c r="J618" i="5"/>
  <c r="J617" i="5"/>
  <c r="J616" i="5"/>
  <c r="J615" i="5"/>
  <c r="J614" i="5"/>
  <c r="J613" i="5"/>
  <c r="J612" i="5"/>
  <c r="J611" i="5"/>
  <c r="J610" i="5"/>
  <c r="J609" i="5"/>
  <c r="J608" i="5"/>
  <c r="J607" i="5"/>
  <c r="J606" i="5"/>
  <c r="J605" i="5"/>
  <c r="J604" i="5"/>
  <c r="J603" i="5"/>
  <c r="J602" i="5"/>
  <c r="J601" i="5"/>
  <c r="J600" i="5"/>
  <c r="J599" i="5"/>
  <c r="J598" i="5"/>
  <c r="J597" i="5"/>
  <c r="J596" i="5"/>
  <c r="J595" i="5"/>
  <c r="J594" i="5"/>
  <c r="J593" i="5"/>
  <c r="J592" i="5"/>
  <c r="J591" i="5"/>
  <c r="J590" i="5"/>
  <c r="J589" i="5"/>
  <c r="J588" i="5"/>
  <c r="J587" i="5"/>
  <c r="J586" i="5"/>
  <c r="J585" i="5"/>
  <c r="J584" i="5"/>
  <c r="J583" i="5"/>
  <c r="J582" i="5"/>
  <c r="J581" i="5"/>
  <c r="J580" i="5"/>
  <c r="J579" i="5"/>
  <c r="J578" i="5"/>
  <c r="J577" i="5"/>
  <c r="J576" i="5"/>
  <c r="J575" i="5"/>
  <c r="J574" i="5"/>
  <c r="J573" i="5"/>
  <c r="J572" i="5"/>
  <c r="J571" i="5"/>
  <c r="J570" i="5"/>
  <c r="J569" i="5"/>
  <c r="J568" i="5"/>
  <c r="J567" i="5"/>
  <c r="J566" i="5"/>
  <c r="J565" i="5"/>
  <c r="J564" i="5"/>
  <c r="J563" i="5"/>
  <c r="J562" i="5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8" i="5"/>
  <c r="J507" i="5"/>
  <c r="J506" i="5"/>
  <c r="J505" i="5"/>
  <c r="J504" i="5"/>
  <c r="J503" i="5"/>
  <c r="J502" i="5"/>
  <c r="J501" i="5"/>
  <c r="J500" i="5"/>
  <c r="J499" i="5"/>
  <c r="J498" i="5"/>
  <c r="J497" i="5"/>
  <c r="J496" i="5"/>
  <c r="J495" i="5"/>
  <c r="J494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1" i="5"/>
  <c r="J470" i="5"/>
  <c r="J469" i="5"/>
  <c r="J468" i="5"/>
  <c r="J467" i="5"/>
  <c r="J466" i="5"/>
  <c r="J465" i="5"/>
  <c r="J46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3" i="5"/>
  <c r="J442" i="5"/>
  <c r="J441" i="5"/>
  <c r="J440" i="5"/>
  <c r="J439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1" i="5"/>
  <c r="J400" i="5"/>
  <c r="J399" i="5"/>
  <c r="J398" i="5"/>
  <c r="J397" i="5"/>
  <c r="J396" i="5"/>
  <c r="J395" i="5"/>
  <c r="J394" i="5"/>
  <c r="J393" i="5"/>
  <c r="J392" i="5"/>
  <c r="J391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9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G8" i="5"/>
  <c r="G6" i="5"/>
  <c r="G4" i="5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2" i="9"/>
  <c r="D6" i="5"/>
  <c r="C11" i="5"/>
  <c r="E11" i="5"/>
  <c r="D11" i="5"/>
  <c r="B11" i="5"/>
  <c r="B9" i="5"/>
  <c r="C6" i="5"/>
  <c r="B6" i="5"/>
  <c r="B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Customer Dashboard!$B$13:$H$843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CustomerDashboardB13H8431"/>
        </x15:connection>
      </ext>
    </extLst>
  </connection>
  <connection id="3" xr16:uid="{00000000-0015-0000-FFFF-FFFF02000000}" name="WorksheetConnection_CustomerOrders-01.xlsx!CustomerInfo" type="102" refreshedVersion="6" minRefreshableVersion="5">
    <extLst>
      <ext xmlns:x15="http://schemas.microsoft.com/office/spreadsheetml/2010/11/main" uri="{DE250136-89BD-433C-8126-D09CA5730AF9}">
        <x15:connection id="CustomerInfo">
          <x15:rangePr sourceName="_xlcn.WorksheetConnection_CustomerOrders01.xlsxCustomerInfo1"/>
        </x15:connection>
      </ext>
    </extLst>
  </connection>
  <connection id="4" xr16:uid="{00000000-0015-0000-FFFF-FFFF03000000}" name="WorksheetConnection_CustomerOrders-01.xlsx!OrderInfo" type="102" refreshedVersion="6" minRefreshableVersion="5">
    <extLst>
      <ext xmlns:x15="http://schemas.microsoft.com/office/spreadsheetml/2010/11/main" uri="{DE250136-89BD-433C-8126-D09CA5730AF9}">
        <x15:connection id="OrderInfo">
          <x15:rangePr sourceName="_xlcn.WorksheetConnection_CustomerOrders01.xlsxOrderInfo1"/>
        </x15:connection>
      </ext>
    </extLst>
  </connection>
</connections>
</file>

<file path=xl/sharedStrings.xml><?xml version="1.0" encoding="utf-8"?>
<sst xmlns="http://schemas.openxmlformats.org/spreadsheetml/2006/main" count="5851" uniqueCount="650">
  <si>
    <t>Wilman Kala</t>
  </si>
  <si>
    <t>White Clover Markets</t>
  </si>
  <si>
    <t>Tortuga Restaurante</t>
  </si>
  <si>
    <t>The Cracker Box</t>
  </si>
  <si>
    <t>The Big Cheese</t>
  </si>
  <si>
    <t>Simons bistro</t>
  </si>
  <si>
    <t>Seven Seas Imports</t>
  </si>
  <si>
    <t>Richter Supermarkt</t>
  </si>
  <si>
    <t>Ricardo Adocicados</t>
  </si>
  <si>
    <t>Rancho grande</t>
  </si>
  <si>
    <t>QUICK-Stop</t>
  </si>
  <si>
    <t>Pericles Comidas clásicas</t>
  </si>
  <si>
    <t>Maison Dewey</t>
  </si>
  <si>
    <t>Let's Stop N Shop</t>
  </si>
  <si>
    <t>Island Trading</t>
  </si>
  <si>
    <t>Ernst Handel</t>
  </si>
  <si>
    <t>Eastern Connection</t>
  </si>
  <si>
    <t>Consolidated Holdings</t>
  </si>
  <si>
    <t>PHONE</t>
  </si>
  <si>
    <t>ADDRESS</t>
  </si>
  <si>
    <t>CUSTOMER NAME</t>
  </si>
  <si>
    <t>CITY</t>
  </si>
  <si>
    <t>REGION</t>
  </si>
  <si>
    <t>POSTAL CODE</t>
  </si>
  <si>
    <t>FAX</t>
  </si>
  <si>
    <t>ORDER COUNT</t>
  </si>
  <si>
    <t>AVERAGE FREIGHT</t>
  </si>
  <si>
    <t>LAST ORDER</t>
  </si>
  <si>
    <t>ORDER HISTORY</t>
  </si>
  <si>
    <t>ALFKI</t>
  </si>
  <si>
    <t>Sales Representative</t>
  </si>
  <si>
    <t>030-0074321</t>
  </si>
  <si>
    <t>030-0076545</t>
  </si>
  <si>
    <t>ANATR</t>
  </si>
  <si>
    <t>Owner</t>
  </si>
  <si>
    <t>(5) 555-4729</t>
  </si>
  <si>
    <t>(5) 555-3745</t>
  </si>
  <si>
    <t>ANTON</t>
  </si>
  <si>
    <t>(5) 555-3932</t>
  </si>
  <si>
    <t>AROUT</t>
  </si>
  <si>
    <t>(171) 555-7788</t>
  </si>
  <si>
    <t>(171) 555-6750</t>
  </si>
  <si>
    <t>BERGS</t>
  </si>
  <si>
    <t>Order Administrator</t>
  </si>
  <si>
    <t>0921-12 34 65</t>
  </si>
  <si>
    <t>0921-12 34 67</t>
  </si>
  <si>
    <t>BLAUS</t>
  </si>
  <si>
    <t>0621-08460</t>
  </si>
  <si>
    <t>0621-08924</t>
  </si>
  <si>
    <t>BLONP</t>
  </si>
  <si>
    <t>Marketing Manager</t>
  </si>
  <si>
    <t>88.60.15.31</t>
  </si>
  <si>
    <t>88.60.15.32</t>
  </si>
  <si>
    <t>BOLID</t>
  </si>
  <si>
    <t>(91) 555 22 82</t>
  </si>
  <si>
    <t>(91) 555 91 99</t>
  </si>
  <si>
    <t>BONAP</t>
  </si>
  <si>
    <t>91.24.45.40</t>
  </si>
  <si>
    <t>91.24.45.41</t>
  </si>
  <si>
    <t>BOTTM</t>
  </si>
  <si>
    <t>Accounting Manager</t>
  </si>
  <si>
    <t>(604) 555-4729</t>
  </si>
  <si>
    <t>(604) 555-3745</t>
  </si>
  <si>
    <t>BSBEV</t>
  </si>
  <si>
    <t>(171) 555-1212</t>
  </si>
  <si>
    <t>CACTU</t>
  </si>
  <si>
    <t>Sales Agent</t>
  </si>
  <si>
    <t>(1) 135-5555</t>
  </si>
  <si>
    <t>(1) 135-4892</t>
  </si>
  <si>
    <t>CENTC</t>
  </si>
  <si>
    <t>(5) 555-3392</t>
  </si>
  <si>
    <t>(5) 555-7293</t>
  </si>
  <si>
    <t>CHOPS</t>
  </si>
  <si>
    <t>0452-076545</t>
  </si>
  <si>
    <t>COMMI</t>
  </si>
  <si>
    <t>Sales Associate</t>
  </si>
  <si>
    <t>SP</t>
  </si>
  <si>
    <t>(11) 555-7647</t>
  </si>
  <si>
    <t>CONSH</t>
  </si>
  <si>
    <t>(171) 555-2282</t>
  </si>
  <si>
    <t>(171) 555-9199</t>
  </si>
  <si>
    <t>DRACD</t>
  </si>
  <si>
    <t>0241-039123</t>
  </si>
  <si>
    <t>0241-059428</t>
  </si>
  <si>
    <t>DUMON</t>
  </si>
  <si>
    <t>40.67.88.88</t>
  </si>
  <si>
    <t>40.67.89.89</t>
  </si>
  <si>
    <t>EASTC</t>
  </si>
  <si>
    <t>(171) 555-0297</t>
  </si>
  <si>
    <t>(171) 555-3373</t>
  </si>
  <si>
    <t>ERNSH</t>
  </si>
  <si>
    <t>Sales Manager</t>
  </si>
  <si>
    <t>7675-3425</t>
  </si>
  <si>
    <t>7675-3426</t>
  </si>
  <si>
    <t>FAMIA</t>
  </si>
  <si>
    <t>Marketing Assistant</t>
  </si>
  <si>
    <t>(11) 555-9857</t>
  </si>
  <si>
    <t>(91) 555 94 44</t>
  </si>
  <si>
    <t>(91) 555 55 93</t>
  </si>
  <si>
    <t>FOLIG</t>
  </si>
  <si>
    <t>Assistant Sales Agent</t>
  </si>
  <si>
    <t>20.16.10.16</t>
  </si>
  <si>
    <t>20.16.10.17</t>
  </si>
  <si>
    <t>FOLKO</t>
  </si>
  <si>
    <t>0695-34 67 21</t>
  </si>
  <si>
    <t>FRANK</t>
  </si>
  <si>
    <t>089-0877310</t>
  </si>
  <si>
    <t>089-0877451</t>
  </si>
  <si>
    <t>FRANR</t>
  </si>
  <si>
    <t>40.32.21.21</t>
  </si>
  <si>
    <t>40.32.21.20</t>
  </si>
  <si>
    <t>FRANS</t>
  </si>
  <si>
    <t>011-4988260</t>
  </si>
  <si>
    <t>011-4988261</t>
  </si>
  <si>
    <t>FURIB</t>
  </si>
  <si>
    <t>(1) 354-2534</t>
  </si>
  <si>
    <t>(1) 354-2535</t>
  </si>
  <si>
    <t>GALED</t>
  </si>
  <si>
    <t>(93) 203 4560</t>
  </si>
  <si>
    <t>(93) 203 4561</t>
  </si>
  <si>
    <t>GODOS</t>
  </si>
  <si>
    <t>(95) 555 82 82</t>
  </si>
  <si>
    <t>GOURL</t>
  </si>
  <si>
    <t>(11) 555-9482</t>
  </si>
  <si>
    <t>GREAL</t>
  </si>
  <si>
    <t>OR</t>
  </si>
  <si>
    <t>(503) 555-7555</t>
  </si>
  <si>
    <t>GROSR</t>
  </si>
  <si>
    <t>(2) 283-2951</t>
  </si>
  <si>
    <t>(2) 283-3397</t>
  </si>
  <si>
    <t>HANAR</t>
  </si>
  <si>
    <t>RJ</t>
  </si>
  <si>
    <t>(21) 555-0091</t>
  </si>
  <si>
    <t>(21) 555-8765</t>
  </si>
  <si>
    <t>HILAA</t>
  </si>
  <si>
    <t>(5) 555-1340</t>
  </si>
  <si>
    <t>(5) 555-1948</t>
  </si>
  <si>
    <t>HUNGC</t>
  </si>
  <si>
    <t>(503) 555-6874</t>
  </si>
  <si>
    <t>(503) 555-2376</t>
  </si>
  <si>
    <t>HUNGO</t>
  </si>
  <si>
    <t>2967 542</t>
  </si>
  <si>
    <t>2967 3333</t>
  </si>
  <si>
    <t>ISLAT</t>
  </si>
  <si>
    <t>(198) 555-8888</t>
  </si>
  <si>
    <t>KOENE</t>
  </si>
  <si>
    <t>0555-09876</t>
  </si>
  <si>
    <t>LACOR</t>
  </si>
  <si>
    <t>30.59.84.10</t>
  </si>
  <si>
    <t>30.59.85.11</t>
  </si>
  <si>
    <t>LAMAI</t>
  </si>
  <si>
    <t>61.77.61.10</t>
  </si>
  <si>
    <t>61.77.61.11</t>
  </si>
  <si>
    <t>LAUGB</t>
  </si>
  <si>
    <t>(604) 555-3392</t>
  </si>
  <si>
    <t>(604) 555-7293</t>
  </si>
  <si>
    <t>LAZYK</t>
  </si>
  <si>
    <t>WA</t>
  </si>
  <si>
    <t>(509) 555-7969</t>
  </si>
  <si>
    <t>(509) 555-6221</t>
  </si>
  <si>
    <t>LEHMS</t>
  </si>
  <si>
    <t>069-0245984</t>
  </si>
  <si>
    <t>069-0245874</t>
  </si>
  <si>
    <t>LETSS</t>
  </si>
  <si>
    <t>CA</t>
  </si>
  <si>
    <t>(415) 555-5938</t>
  </si>
  <si>
    <t>LILAS</t>
  </si>
  <si>
    <t>(9) 331-6954</t>
  </si>
  <si>
    <t>(9) 331-7256</t>
  </si>
  <si>
    <t>LINOD</t>
  </si>
  <si>
    <t>(8) 34-56-12</t>
  </si>
  <si>
    <t>(8) 34-93-93</t>
  </si>
  <si>
    <t>LONEP</t>
  </si>
  <si>
    <t>(503) 555-9573</t>
  </si>
  <si>
    <t>(503) 555-9646</t>
  </si>
  <si>
    <t>MAGAA</t>
  </si>
  <si>
    <t>035-640230</t>
  </si>
  <si>
    <t>035-640231</t>
  </si>
  <si>
    <t>MAISD</t>
  </si>
  <si>
    <t>(02) 201 24 67</t>
  </si>
  <si>
    <t>(02) 201 24 68</t>
  </si>
  <si>
    <t>MEREP</t>
  </si>
  <si>
    <t>(514) 555-8054</t>
  </si>
  <si>
    <t>(514) 555-8055</t>
  </si>
  <si>
    <t>MORGK</t>
  </si>
  <si>
    <t>0342-023176</t>
  </si>
  <si>
    <t>NORTS</t>
  </si>
  <si>
    <t>(171) 555-7733</t>
  </si>
  <si>
    <t>(171) 555-2530</t>
  </si>
  <si>
    <t>OCEAN</t>
  </si>
  <si>
    <t>(1) 135-5333</t>
  </si>
  <si>
    <t>(1) 135-5535</t>
  </si>
  <si>
    <t>OLDWO</t>
  </si>
  <si>
    <t>AK</t>
  </si>
  <si>
    <t>(907) 555-7584</t>
  </si>
  <si>
    <t>(907) 555-2880</t>
  </si>
  <si>
    <t>OTTIK</t>
  </si>
  <si>
    <t>0221-0644327</t>
  </si>
  <si>
    <t>0221-0765721</t>
  </si>
  <si>
    <t>PARIS</t>
  </si>
  <si>
    <t>(1) 42.34.22.66</t>
  </si>
  <si>
    <t>(1) 42.34.22.77</t>
  </si>
  <si>
    <t>PERIC</t>
  </si>
  <si>
    <t>(5) 552-3745</t>
  </si>
  <si>
    <t>(5) 545-3745</t>
  </si>
  <si>
    <t>PICCO</t>
  </si>
  <si>
    <t>6562-9722</t>
  </si>
  <si>
    <t>6562-9723</t>
  </si>
  <si>
    <t>PRINI</t>
  </si>
  <si>
    <t>(1) 356-5634</t>
  </si>
  <si>
    <t>QUEDE</t>
  </si>
  <si>
    <t>(21) 555-4252</t>
  </si>
  <si>
    <t>(21) 555-4545</t>
  </si>
  <si>
    <t>QUEEN</t>
  </si>
  <si>
    <t>(11) 555-1189</t>
  </si>
  <si>
    <t>QUICK</t>
  </si>
  <si>
    <t>0372-035188</t>
  </si>
  <si>
    <t>RANCH</t>
  </si>
  <si>
    <t>(1) 123-5555</t>
  </si>
  <si>
    <t>(1) 123-5556</t>
  </si>
  <si>
    <t>RATTC</t>
  </si>
  <si>
    <t>Assistant Sales Representative</t>
  </si>
  <si>
    <t>NM</t>
  </si>
  <si>
    <t>(505) 555-5939</t>
  </si>
  <si>
    <t>(505) 555-3620</t>
  </si>
  <si>
    <t>REGGC</t>
  </si>
  <si>
    <t>0522-556721</t>
  </si>
  <si>
    <t>0522-556722</t>
  </si>
  <si>
    <t>RICAR</t>
  </si>
  <si>
    <t>(21) 555-3412</t>
  </si>
  <si>
    <t>RICSU</t>
  </si>
  <si>
    <t>0897-034214</t>
  </si>
  <si>
    <t>ROMEY</t>
  </si>
  <si>
    <t>(91) 745 6200</t>
  </si>
  <si>
    <t>(91) 745 6210</t>
  </si>
  <si>
    <t>SANTG</t>
  </si>
  <si>
    <t>07-98 92 35</t>
  </si>
  <si>
    <t>07-98 92 47</t>
  </si>
  <si>
    <t>SAVEA</t>
  </si>
  <si>
    <t>ID</t>
  </si>
  <si>
    <t>(208) 555-8097</t>
  </si>
  <si>
    <t>SEVES</t>
  </si>
  <si>
    <t>(171) 555-1717</t>
  </si>
  <si>
    <t>(171) 555-5646</t>
  </si>
  <si>
    <t>SIMOB</t>
  </si>
  <si>
    <t>31 12 34 56</t>
  </si>
  <si>
    <t>31 13 35 57</t>
  </si>
  <si>
    <t>SPECD</t>
  </si>
  <si>
    <t>(1) 47.55.60.10</t>
  </si>
  <si>
    <t>(1) 47.55.60.20</t>
  </si>
  <si>
    <t>SPLIR</t>
  </si>
  <si>
    <t>WY</t>
  </si>
  <si>
    <t>(307) 555-4680</t>
  </si>
  <si>
    <t>(307) 555-6525</t>
  </si>
  <si>
    <t>SUPRD</t>
  </si>
  <si>
    <t>(071) 23 67 22 20</t>
  </si>
  <si>
    <t>(071) 23 67 22 21</t>
  </si>
  <si>
    <t>THEBI</t>
  </si>
  <si>
    <t>(503) 555-3612</t>
  </si>
  <si>
    <t>THECR</t>
  </si>
  <si>
    <t>MT</t>
  </si>
  <si>
    <t>(406) 555-5834</t>
  </si>
  <si>
    <t>(406) 555-8083</t>
  </si>
  <si>
    <t>TOMSP</t>
  </si>
  <si>
    <t>0251-031259</t>
  </si>
  <si>
    <t>0251-035695</t>
  </si>
  <si>
    <t>TORTU</t>
  </si>
  <si>
    <t>(5) 555-2933</t>
  </si>
  <si>
    <t>TRADH</t>
  </si>
  <si>
    <t>(11) 555-2167</t>
  </si>
  <si>
    <t>(11) 555-2168</t>
  </si>
  <si>
    <t>TRAIH</t>
  </si>
  <si>
    <t>(206) 555-8257</t>
  </si>
  <si>
    <t>(206) 555-2174</t>
  </si>
  <si>
    <t>VAFFE</t>
  </si>
  <si>
    <t>86 21 32 43</t>
  </si>
  <si>
    <t>86 22 33 44</t>
  </si>
  <si>
    <t>VICTE</t>
  </si>
  <si>
    <t>78.32.54.86</t>
  </si>
  <si>
    <t>78.32.54.87</t>
  </si>
  <si>
    <t>VINET</t>
  </si>
  <si>
    <t>26.47.15.10</t>
  </si>
  <si>
    <t>26.47.15.11</t>
  </si>
  <si>
    <t>WANDK</t>
  </si>
  <si>
    <t>0711-020361</t>
  </si>
  <si>
    <t>0711-035428</t>
  </si>
  <si>
    <t>WARTH</t>
  </si>
  <si>
    <t>981-443655</t>
  </si>
  <si>
    <t>WELLI</t>
  </si>
  <si>
    <t>(14) 555-8122</t>
  </si>
  <si>
    <t>WHITC</t>
  </si>
  <si>
    <t>(206) 555-4112</t>
  </si>
  <si>
    <t>(206) 555-4115</t>
  </si>
  <si>
    <t>WILMK</t>
  </si>
  <si>
    <t>Owner/Marketing Assistant</t>
  </si>
  <si>
    <t>90-224 8858</t>
  </si>
  <si>
    <t>WOLZA</t>
  </si>
  <si>
    <t>(26) 642-7012</t>
  </si>
  <si>
    <t>Address</t>
  </si>
  <si>
    <t>City</t>
  </si>
  <si>
    <t>Region</t>
  </si>
  <si>
    <t>Phone</t>
  </si>
  <si>
    <t>Fax</t>
  </si>
  <si>
    <t>Company Name</t>
  </si>
  <si>
    <t>Customer ID</t>
  </si>
  <si>
    <t>Contact Name</t>
  </si>
  <si>
    <t>Contact Title</t>
  </si>
  <si>
    <t>Postal Code</t>
  </si>
  <si>
    <t>ShippedDate</t>
  </si>
  <si>
    <t>ShipVia</t>
  </si>
  <si>
    <t>ShipName</t>
  </si>
  <si>
    <t>OrderID</t>
  </si>
  <si>
    <t>CustomerID</t>
  </si>
  <si>
    <t>OrderDate</t>
  </si>
  <si>
    <t>RequiredDate</t>
  </si>
  <si>
    <t>OrderAmount</t>
  </si>
  <si>
    <t>Alfreds Freddy</t>
  </si>
  <si>
    <t>Anant Rations</t>
  </si>
  <si>
    <t>Antara Torches</t>
  </si>
  <si>
    <t>Arvind Outfits</t>
  </si>
  <si>
    <t>Berglunds Snooby</t>
  </si>
  <si>
    <t>Blanket United</t>
  </si>
  <si>
    <t>Bondel Garrages</t>
  </si>
  <si>
    <t>Bold Collections</t>
  </si>
  <si>
    <t>Bottoms Up</t>
  </si>
  <si>
    <t>Bombay Apparel</t>
  </si>
  <si>
    <t>Best Beverages</t>
  </si>
  <si>
    <t xml:space="preserve">Cactus Comidas </t>
  </si>
  <si>
    <t xml:space="preserve">Centro comercial </t>
  </si>
  <si>
    <t xml:space="preserve">Chop-suey </t>
  </si>
  <si>
    <t>Coco Mineiro</t>
  </si>
  <si>
    <t>Dragon Datas</t>
  </si>
  <si>
    <t>Du drops</t>
  </si>
  <si>
    <t>Familia Arcade</t>
  </si>
  <si>
    <t>FISSA Fabrics</t>
  </si>
  <si>
    <t>Folies garments</t>
  </si>
  <si>
    <t>Folkos</t>
  </si>
  <si>
    <t>Franken sand</t>
  </si>
  <si>
    <t>France resto</t>
  </si>
  <si>
    <t>Fabric Nation</t>
  </si>
  <si>
    <t>Furry italian</t>
  </si>
  <si>
    <t>Galeb bakery</t>
  </si>
  <si>
    <t xml:space="preserve">Godos Cocina </t>
  </si>
  <si>
    <t>Gourmet Lajawab</t>
  </si>
  <si>
    <t>Great Lakes Foods</t>
  </si>
  <si>
    <t>Garrison Restaurant</t>
  </si>
  <si>
    <t>Harini Canes</t>
  </si>
  <si>
    <t>Hilkon Air</t>
  </si>
  <si>
    <t>Hungry Guys</t>
  </si>
  <si>
    <t>Hungama Trading</t>
  </si>
  <si>
    <t>Kone Enterprises</t>
  </si>
  <si>
    <t>Lacar Industries</t>
  </si>
  <si>
    <t>Lama Fashions</t>
  </si>
  <si>
    <t xml:space="preserve">Laughing Bacchus </t>
  </si>
  <si>
    <t>Lazy Kites</t>
  </si>
  <si>
    <t>Lehmanns Markets</t>
  </si>
  <si>
    <t>Lila Supermart</t>
  </si>
  <si>
    <t>Linda Designs</t>
  </si>
  <si>
    <t>Lonesome Restaurant</t>
  </si>
  <si>
    <t>Malad Traders</t>
  </si>
  <si>
    <t>Merry Paillarde</t>
  </si>
  <si>
    <t>Morton Goods</t>
  </si>
  <si>
    <t>North South Hotels</t>
  </si>
  <si>
    <t>Ocean Attiko</t>
  </si>
  <si>
    <t>Old Words</t>
  </si>
  <si>
    <t>Oakwood Furnishings</t>
  </si>
  <si>
    <t>Paris Perfumes</t>
  </si>
  <si>
    <t>Picco Trades</t>
  </si>
  <si>
    <t>Print India</t>
  </si>
  <si>
    <t>Queue Linen</t>
  </si>
  <si>
    <t>Queen Seatings</t>
  </si>
  <si>
    <t>Rattlesnake Grocery</t>
  </si>
  <si>
    <t>Rewari Grocers</t>
  </si>
  <si>
    <t>Romeo Yeasts</t>
  </si>
  <si>
    <t>Santa Gourmet</t>
  </si>
  <si>
    <t>Seva Diagnostics</t>
  </si>
  <si>
    <t>Social Café</t>
  </si>
  <si>
    <t>Split Seconds</t>
  </si>
  <si>
    <t>Supreme Finishings</t>
  </si>
  <si>
    <t>Toms Specialities</t>
  </si>
  <si>
    <t>Traders Den</t>
  </si>
  <si>
    <t>Trail's Provisioners</t>
  </si>
  <si>
    <t>Venkat Café</t>
  </si>
  <si>
    <t>Victor Provisions</t>
  </si>
  <si>
    <t>Vincent Decorators</t>
  </si>
  <si>
    <t>Wonderworld</t>
  </si>
  <si>
    <t>Wazir Collections</t>
  </si>
  <si>
    <t>Wellington Imports</t>
  </si>
  <si>
    <t>West Zen</t>
  </si>
  <si>
    <t>R Farida</t>
  </si>
  <si>
    <t>Vikram Rana</t>
  </si>
  <si>
    <t xml:space="preserve">Ishan Banerjee </t>
  </si>
  <si>
    <t>Punith R</t>
  </si>
  <si>
    <t>M Elizabeth</t>
  </si>
  <si>
    <t>Batul Bhopalwala</t>
  </si>
  <si>
    <t>Justus Varghese</t>
  </si>
  <si>
    <t>Pradyumna Champati</t>
  </si>
  <si>
    <t>Soumyakanta Mishra</t>
  </si>
  <si>
    <t>Satyam Babu</t>
  </si>
  <si>
    <t>Krishna Kumar</t>
  </si>
  <si>
    <t>Satnatan Agarwal</t>
  </si>
  <si>
    <t>Shreyash Kapoor</t>
  </si>
  <si>
    <t>Pallavi Anand</t>
  </si>
  <si>
    <t>Sasidhar Reddy</t>
  </si>
  <si>
    <t>Bala Krishna Tanneru</t>
  </si>
  <si>
    <t>Ajjay Upadhyaya</t>
  </si>
  <si>
    <t>Ujjwal Bandyopadhyay</t>
  </si>
  <si>
    <t>Bibhuti Bhusan Singh</t>
  </si>
  <si>
    <t>Amit Sharma</t>
  </si>
  <si>
    <t>R Lakshmi</t>
  </si>
  <si>
    <t>Sandeep</t>
  </si>
  <si>
    <t>Ravi Shankar B.R</t>
  </si>
  <si>
    <t>Sreedharbabu Nalluri</t>
  </si>
  <si>
    <t>Rohit Uttam Bhoslae</t>
  </si>
  <si>
    <t>Rushikesh</t>
  </si>
  <si>
    <t>Kiran Aithal A</t>
  </si>
  <si>
    <t>Robert Bhandari</t>
  </si>
  <si>
    <t>Rahul Deokar</t>
  </si>
  <si>
    <t>Siddhesh Nadkarni</t>
  </si>
  <si>
    <t>Lakshmi Tanuja M</t>
  </si>
  <si>
    <t>S R Krishnamoorthy</t>
  </si>
  <si>
    <t>Kasturimalpekar</t>
  </si>
  <si>
    <t>Awadhesh Kumar Thakur</t>
  </si>
  <si>
    <t>Madhusudan</t>
  </si>
  <si>
    <t>Harish Rawat</t>
  </si>
  <si>
    <t>Swarnava Chattopadhyay</t>
  </si>
  <si>
    <t>Abhijit Dutta</t>
  </si>
  <si>
    <t>Muthyam</t>
  </si>
  <si>
    <t>Bitanjoy Saha</t>
  </si>
  <si>
    <t>Shailesh Jani</t>
  </si>
  <si>
    <t>Aarti Maharana</t>
  </si>
  <si>
    <t>Mayank Agarwal</t>
  </si>
  <si>
    <t>Basweshwar Rawale</t>
  </si>
  <si>
    <t>Sateesh Vaswani</t>
  </si>
  <si>
    <t>Ravi Kumar Choudhary</t>
  </si>
  <si>
    <t>Ravinder Singh</t>
  </si>
  <si>
    <t>Akash Singh</t>
  </si>
  <si>
    <t>Jafar Hashmi</t>
  </si>
  <si>
    <t>Bora Khagen Rao</t>
  </si>
  <si>
    <t>Ganesh</t>
  </si>
  <si>
    <t>Dawit Melak</t>
  </si>
  <si>
    <t>Babu Dnyaneshwar Pawar</t>
  </si>
  <si>
    <t>Alok Mishra</t>
  </si>
  <si>
    <t>Tulsidas Bhalavi</t>
  </si>
  <si>
    <t>Pranesh Ravula</t>
  </si>
  <si>
    <t>Vijaysundar</t>
  </si>
  <si>
    <t xml:space="preserve">Santosh Kumar </t>
  </si>
  <si>
    <t>Pikloo Roy</t>
  </si>
  <si>
    <t>Paul Brown</t>
  </si>
  <si>
    <t>Assam</t>
  </si>
  <si>
    <t>Kerela</t>
  </si>
  <si>
    <t xml:space="preserve">Bihar </t>
  </si>
  <si>
    <t>West Bengal</t>
  </si>
  <si>
    <t>Chattisgarh</t>
  </si>
  <si>
    <t>Delhi</t>
  </si>
  <si>
    <t>State</t>
  </si>
  <si>
    <t>Tripura</t>
  </si>
  <si>
    <t>Maharashtra</t>
  </si>
  <si>
    <t>Gujarat</t>
  </si>
  <si>
    <t>Karnataka</t>
  </si>
  <si>
    <t>Telengana</t>
  </si>
  <si>
    <t>Tamil Nadu</t>
  </si>
  <si>
    <t>Mizoram</t>
  </si>
  <si>
    <t>P Lalengliana</t>
  </si>
  <si>
    <t>Odisha</t>
  </si>
  <si>
    <t>Jharkhand</t>
  </si>
  <si>
    <t>Meghalaya</t>
  </si>
  <si>
    <t>Punjab</t>
  </si>
  <si>
    <t>Rajasthan</t>
  </si>
  <si>
    <t>Uttar Pradesh</t>
  </si>
  <si>
    <t>Haryana</t>
  </si>
  <si>
    <t>Guwahati</t>
  </si>
  <si>
    <t>Thiruvananthapuram</t>
  </si>
  <si>
    <t>Kochi</t>
  </si>
  <si>
    <t>Patna</t>
  </si>
  <si>
    <t>Kolkata</t>
  </si>
  <si>
    <t>Durgapur</t>
  </si>
  <si>
    <t>Raipur</t>
  </si>
  <si>
    <t>Bilaspur</t>
  </si>
  <si>
    <t>Ahmedabad</t>
  </si>
  <si>
    <t>Surat</t>
  </si>
  <si>
    <t>Rajkot</t>
  </si>
  <si>
    <t>Faridabad</t>
  </si>
  <si>
    <t>Gurugram</t>
  </si>
  <si>
    <t>Dhanbad</t>
  </si>
  <si>
    <t>Ranchi</t>
  </si>
  <si>
    <t>Jamshedpur</t>
  </si>
  <si>
    <t>Bangalore</t>
  </si>
  <si>
    <t>Mumbai</t>
  </si>
  <si>
    <t>Pune</t>
  </si>
  <si>
    <t>Nashik</t>
  </si>
  <si>
    <t>Amravati</t>
  </si>
  <si>
    <t>Kolhapur</t>
  </si>
  <si>
    <t>Shillong</t>
  </si>
  <si>
    <t>Aizwal</t>
  </si>
  <si>
    <t>Bhubaneswar</t>
  </si>
  <si>
    <t>Rourkela</t>
  </si>
  <si>
    <t>Ludhiana</t>
  </si>
  <si>
    <t>Jalandhar</t>
  </si>
  <si>
    <t>Jaipur</t>
  </si>
  <si>
    <t>Jodhpur</t>
  </si>
  <si>
    <t>Chennai</t>
  </si>
  <si>
    <t>Hyderabad</t>
  </si>
  <si>
    <t>Warangal</t>
  </si>
  <si>
    <t>Agartala</t>
  </si>
  <si>
    <t>Kailasahar</t>
  </si>
  <si>
    <t>Lucknow</t>
  </si>
  <si>
    <t>Prayagraj</t>
  </si>
  <si>
    <t>Agra</t>
  </si>
  <si>
    <t>Siliguri</t>
  </si>
  <si>
    <t>985 Anandanagar Road</t>
  </si>
  <si>
    <t>35/H/FU Anandanagar</t>
  </si>
  <si>
    <t>New Patlipura Colony</t>
  </si>
  <si>
    <t>Airport Road</t>
  </si>
  <si>
    <t>Airport</t>
  </si>
  <si>
    <t>Janta Colony</t>
  </si>
  <si>
    <t>Byron Bazar</t>
  </si>
  <si>
    <t>NC</t>
  </si>
  <si>
    <t>Chana Market, Karol Bagh</t>
  </si>
  <si>
    <t>Aggarwal Presteige, Pitampura</t>
  </si>
  <si>
    <t>Jiviraj Park</t>
  </si>
  <si>
    <t>Satyamev Arcade, Chandkheda</t>
  </si>
  <si>
    <t>Sarkhej, Sola</t>
  </si>
  <si>
    <t>Sardar Patel Ringh Road</t>
  </si>
  <si>
    <t>Ring Rd, Udhana Darwaja, Aman Nagar</t>
  </si>
  <si>
    <t xml:space="preserve">Gopal Nagar Society, Gita Nagar, Parvat Patiya. </t>
  </si>
  <si>
    <t xml:space="preserve">Nagrik Bank Building, Dr Yagnik Rd. </t>
  </si>
  <si>
    <t xml:space="preserve">Jubilee Chowk, Jawahar Rd, Lohana Para. </t>
  </si>
  <si>
    <t xml:space="preserve">Sector 16 Rd Sector-16, Nirman Kunj, Daulatabad Village.  </t>
  </si>
  <si>
    <t xml:space="preserve">NH8 Sector 83 Gurugram. </t>
  </si>
  <si>
    <t xml:space="preserve">Gol Chakkar, Carterpuri Rd, Block F, Palam Vihar. </t>
  </si>
  <si>
    <t xml:space="preserve">Sector 90, Gurugram, Haryana </t>
  </si>
  <si>
    <t>DLF</t>
  </si>
  <si>
    <t>APK Cross</t>
  </si>
  <si>
    <t>S90</t>
  </si>
  <si>
    <t>MN Park</t>
  </si>
  <si>
    <t xml:space="preserve">Bekarbandh, Kasturba Nagar, Dhanbad. </t>
  </si>
  <si>
    <t>Nagra Toli, Ranchi, Jharkhand.</t>
  </si>
  <si>
    <t>P.H.E.D Colony, Booty More Rd, Jai Prakash Nagar, Ranchi.</t>
  </si>
  <si>
    <t xml:space="preserve">Jc Tower, Main Road, Opp Ranchi Club, Hindpiri. </t>
  </si>
  <si>
    <t xml:space="preserve">Tata Kandra Main Road, Ashiana More.Adityapur. </t>
  </si>
  <si>
    <t xml:space="preserve">Kasturba Rd, Ambedkar Veedhi.  </t>
  </si>
  <si>
    <t>High Court</t>
  </si>
  <si>
    <t xml:space="preserve">High Ct Rd, Marine Drive, Kochi. </t>
  </si>
  <si>
    <t>DLH Park, Swami Vivekananda Rd, Sunder Nagar, Goregaon West, Mumbai.</t>
  </si>
  <si>
    <t xml:space="preserve">Vidhyapeeth Road, Ganeshkhind Road, Pune. </t>
  </si>
  <si>
    <t xml:space="preserve">Pashan Sus Road. Near Mumbai-Pune Bypass. </t>
  </si>
  <si>
    <t xml:space="preserve">Mumbai - Agra National Hwy, MIDC Ambad, Nashik. </t>
  </si>
  <si>
    <t xml:space="preserve">Swaminarayan Nagar, New Adgaon Naka, Panchavati, Nashik.  </t>
  </si>
  <si>
    <t xml:space="preserve">Vir Tanaji Nagar, Shivneri Colony, Amravati. </t>
  </si>
  <si>
    <t xml:space="preserve">Kasaba Bawada Main Rd,Ramanmala, Kolhapur.  </t>
  </si>
  <si>
    <t xml:space="preserve">Symphony IT Park, Chandivali, Powai, Mumbai. </t>
  </si>
  <si>
    <t>Mary Church, Juhu Chowpatty Marg, Sector 10A, Vashi, Navi Mumbai.</t>
  </si>
  <si>
    <t>Vikas College Rd, Kannamwar Nagar II, Vikhroli, Mumbai.</t>
  </si>
  <si>
    <t>Mawlai Phudmuri, Mawlai Mawdatbaki</t>
  </si>
  <si>
    <t>Lower, Lachumiere, Shillong</t>
  </si>
  <si>
    <t>Bill Pekna Bul, Laipuitlang Rd, Laipuitlang, Aizawl</t>
  </si>
  <si>
    <t>Sainik School Rd, Unit 15, Gajapati Nagar, Bhubaneswar.</t>
  </si>
  <si>
    <t xml:space="preserve">Sijua, Patrapada, Bhubaneswar. </t>
  </si>
  <si>
    <t>Kalinga Vihar, Chend Colony, Rourkela</t>
  </si>
  <si>
    <t>SBS Nagar, Jagjit Nagar, Sarabha Nagar, Ludhiana.</t>
  </si>
  <si>
    <t>Cool Road, Near All India Radio, Jawahar Nagar, Jalandhar</t>
  </si>
  <si>
    <t>ASHOK UDHYAN, Pal Rd, Jodhpur
Crowther Way</t>
  </si>
  <si>
    <t>New Sanganer Road. Roop Vihar, Goverdhan Colony, Vivek Vihar, Sodala, Jaipur</t>
  </si>
  <si>
    <t>Metro Pillar 91</t>
  </si>
  <si>
    <t>Bhagwati Nagar 1st Rd, Adarsh Krishna Nagar.</t>
  </si>
  <si>
    <t xml:space="preserve">Mahesh Nagar, 80 Feet Road. </t>
  </si>
  <si>
    <t xml:space="preserve">Shyam Nagar, Jaipur, Rajasthan </t>
  </si>
  <si>
    <t>Poonamallee High Rd, Amaravathi Nagar.</t>
  </si>
  <si>
    <t>9, Vellala St, Ganga Nagar.</t>
  </si>
  <si>
    <t>Shanthi Colony, Anna Nagar</t>
  </si>
  <si>
    <t>Red Hills Road, Bharathi Nagar</t>
  </si>
  <si>
    <t>Mogappair, Chennai</t>
  </si>
  <si>
    <t>Charminar Road, Shah Ali Banda</t>
  </si>
  <si>
    <t>Capital Complex Extension P.O - New Secretariat, Agartala.</t>
  </si>
  <si>
    <t xml:space="preserve">D. K road, Kailashahar, Tripura </t>
  </si>
  <si>
    <t>Faizabad Rd, Vikrant Khand</t>
  </si>
  <si>
    <t>Kanpur - Lucknow Rd, Ram Nagar, Alambagh</t>
  </si>
  <si>
    <t>Raibareli Rd,Pushpendra Nagar</t>
  </si>
  <si>
    <t>Dwarika Puri, Old Katra, Prayagraj</t>
  </si>
  <si>
    <t>Mitra Nagar, Devprayagam Colony</t>
  </si>
  <si>
    <t>Madhwapur, Bairhana</t>
  </si>
  <si>
    <t>Hashimpur Rd, Prayagraj</t>
  </si>
  <si>
    <t>Rajpur Chungi, Grand Parade Rd, Vibhav Nagar</t>
  </si>
  <si>
    <t>Sector 1, Bodla, Lohamandi</t>
  </si>
  <si>
    <t>M.K. Puram, Shastri Puram Rd</t>
  </si>
  <si>
    <t>DG Block(Newtown), Action Area I</t>
  </si>
  <si>
    <t>JC Block Lane,  Broadway Road Salt Lake, Sector III</t>
  </si>
  <si>
    <t>Pancha Sayar Rd, Sahid Smirity Colony</t>
  </si>
  <si>
    <t>Hill Cart Rd, Ward 3, Pradhan Nagar</t>
  </si>
  <si>
    <t>Mangal Pandey Rd, Khalpara</t>
  </si>
  <si>
    <t>City Center, Gandhi More, Commercial Area, Durgapur</t>
  </si>
  <si>
    <t>Tagore Avenue, A-Zone, Durgapur</t>
  </si>
  <si>
    <t>76B,Nehru Chowk</t>
  </si>
  <si>
    <t>HKM</t>
  </si>
  <si>
    <t xml:space="preserve">2132/5787 Range Hills, Pune, Maharashtra </t>
  </si>
  <si>
    <t xml:space="preserve">35 Jan Path, Shastri Nagar, Jaipur. </t>
  </si>
  <si>
    <t xml:space="preserve">LMS Vellayambalam Rd, B32 Kanaka Nagar, Nanthancodu. </t>
  </si>
  <si>
    <t>99 Uttorayon Twp, Siliguri</t>
  </si>
  <si>
    <t>SR</t>
  </si>
  <si>
    <t xml:space="preserve">REGENT PLAZZA, 88 Guru Ram Pavan Bhumi, Dindoli. </t>
  </si>
  <si>
    <t>11B, Desaipet Rd, Vasavi Colony, Kothawada</t>
  </si>
  <si>
    <t>658 Dr. U. N. Brahmachari Street</t>
  </si>
  <si>
    <t>71, Nikol Gam Road</t>
  </si>
  <si>
    <t>Rawatpur 55, Near Airport</t>
  </si>
  <si>
    <t xml:space="preserve">A35 Santosh Nagar, Hyderabad, Telangana </t>
  </si>
  <si>
    <t xml:space="preserve">Block H, Madhav Shopping Center, Devadh Canal Road. </t>
  </si>
  <si>
    <t>Flat 5FG, Gaurav Appt. Anandanagar</t>
  </si>
  <si>
    <t>187 Nabiullah Road Opp. SSP Office, River Bank Colony</t>
  </si>
  <si>
    <t xml:space="preserve">90 Nirman Nagar, Brijlalpura, Jaipur. </t>
  </si>
  <si>
    <t>93/5A, Bailey Road</t>
  </si>
  <si>
    <t>75 Bodla Rd, Freinds Colony, Bhogipura</t>
  </si>
  <si>
    <t>STATE</t>
  </si>
  <si>
    <t>FISSA</t>
  </si>
  <si>
    <t>Sushanta Baruah</t>
  </si>
  <si>
    <t>Alok Prakash</t>
  </si>
  <si>
    <t>Veeresh Pandit</t>
  </si>
  <si>
    <t>Abhimanyu Kumar</t>
  </si>
  <si>
    <t>Eshita Roy</t>
  </si>
  <si>
    <t>Md Ikbal Kazi</t>
  </si>
  <si>
    <t>Cheerla Srikala</t>
  </si>
  <si>
    <t>Sajith Ms</t>
  </si>
  <si>
    <t>Kisore Asthana</t>
  </si>
  <si>
    <t>Sachin Sharma</t>
  </si>
  <si>
    <t>Praveen Rao</t>
  </si>
  <si>
    <t>N Bharath</t>
  </si>
  <si>
    <t>C R Chatterjee</t>
  </si>
  <si>
    <t>Singaluri Venkatesh</t>
  </si>
  <si>
    <t>Durga Prasad</t>
  </si>
  <si>
    <t>Dashrath Ji Zala</t>
  </si>
  <si>
    <t>Oinam Sonam</t>
  </si>
  <si>
    <t>Malaichamy</t>
  </si>
  <si>
    <t>G.M.Mahendra</t>
  </si>
  <si>
    <t>Manish Kumawat</t>
  </si>
  <si>
    <t>G. Durga Prasad Reddy</t>
  </si>
  <si>
    <t>Rk Meena</t>
  </si>
  <si>
    <t>Sambhu Lal Agrawal</t>
  </si>
  <si>
    <t>Avinash Krishna Bagdi</t>
  </si>
  <si>
    <t>Pankaj Srivastava</t>
  </si>
  <si>
    <t>Hemant Singh Bajeli</t>
  </si>
  <si>
    <t>Raju Mitra</t>
  </si>
  <si>
    <t>Kashinath Modi</t>
  </si>
  <si>
    <t>Mayank Pandey</t>
  </si>
  <si>
    <t>Zubin Khan</t>
  </si>
  <si>
    <t>CONTACT NAME</t>
  </si>
  <si>
    <t>DHL</t>
  </si>
  <si>
    <t>FedEx</t>
  </si>
  <si>
    <t>UPS</t>
  </si>
  <si>
    <t>Order Month</t>
  </si>
  <si>
    <t>Customer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</si>
</sst>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mm\-yyyy"/>
    <numFmt numFmtId="165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9" fillId="0" borderId="11" xfId="0" applyFont="1" applyBorder="1"/>
    <xf numFmtId="0" fontId="4" fillId="0" borderId="6" xfId="0" applyFont="1" applyBorder="1"/>
    <xf numFmtId="44" fontId="4" fillId="0" borderId="0" xfId="1" applyFont="1"/>
    <xf numFmtId="0" fontId="4" fillId="0" borderId="0" xfId="0" applyFont="1" applyAlignment="1">
      <alignment horizontal="center"/>
    </xf>
    <xf numFmtId="0" fontId="4" fillId="0" borderId="3" xfId="0" applyFont="1" applyBorder="1"/>
    <xf numFmtId="0" fontId="4" fillId="0" borderId="1" xfId="0" applyFont="1" applyBorder="1"/>
    <xf numFmtId="0" fontId="4" fillId="0" borderId="4" xfId="0" applyFont="1" applyBorder="1"/>
    <xf numFmtId="0" fontId="0" fillId="0" borderId="0" xfId="0" applyAlignment="1">
      <alignment horizontal="left"/>
    </xf>
    <xf numFmtId="0" fontId="7" fillId="2" borderId="5" xfId="0" applyFont="1" applyFill="1" applyBorder="1"/>
    <xf numFmtId="0" fontId="7" fillId="2" borderId="6" xfId="0" applyFont="1" applyFill="1" applyBorder="1"/>
    <xf numFmtId="0" fontId="8" fillId="2" borderId="6" xfId="0" applyFont="1" applyFill="1" applyBorder="1"/>
    <xf numFmtId="0" fontId="8" fillId="2" borderId="7" xfId="0" applyFont="1" applyFill="1" applyBorder="1"/>
    <xf numFmtId="0" fontId="7" fillId="2" borderId="2" xfId="0" applyFont="1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8" fillId="3" borderId="15" xfId="0" applyFont="1" applyFill="1" applyBorder="1"/>
    <xf numFmtId="0" fontId="8" fillId="3" borderId="16" xfId="0" applyFont="1" applyFill="1" applyBorder="1"/>
    <xf numFmtId="0" fontId="8" fillId="3" borderId="17" xfId="0" applyFont="1" applyFill="1" applyBorder="1"/>
    <xf numFmtId="0" fontId="0" fillId="4" borderId="15" xfId="0" applyFill="1" applyBorder="1"/>
    <xf numFmtId="0" fontId="0" fillId="4" borderId="16" xfId="0" applyFill="1" applyBorder="1"/>
    <xf numFmtId="14" fontId="0" fillId="4" borderId="16" xfId="0" applyNumberFormat="1" applyFill="1" applyBorder="1"/>
    <xf numFmtId="0" fontId="0" fillId="4" borderId="17" xfId="0" applyFill="1" applyBorder="1"/>
    <xf numFmtId="0" fontId="0" fillId="0" borderId="15" xfId="0" applyBorder="1"/>
    <xf numFmtId="0" fontId="0" fillId="0" borderId="16" xfId="0" applyBorder="1"/>
    <xf numFmtId="14" fontId="0" fillId="0" borderId="16" xfId="0" applyNumberFormat="1" applyBorder="1"/>
    <xf numFmtId="0" fontId="0" fillId="0" borderId="17" xfId="0" applyBorder="1"/>
    <xf numFmtId="14" fontId="0" fillId="0" borderId="13" xfId="0" applyNumberFormat="1" applyBorder="1"/>
    <xf numFmtId="0" fontId="8" fillId="2" borderId="0" xfId="0" applyFont="1" applyFill="1"/>
    <xf numFmtId="165" fontId="4" fillId="0" borderId="0" xfId="0" applyNumberFormat="1" applyFont="1" applyAlignment="1">
      <alignment horizontal="right"/>
    </xf>
    <xf numFmtId="0" fontId="10" fillId="2" borderId="5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6" fillId="0" borderId="8" xfId="0" applyFont="1" applyBorder="1" applyAlignment="1" applyProtection="1">
      <alignment horizontal="center"/>
      <protection locked="0"/>
    </xf>
    <xf numFmtId="0" fontId="6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4" fillId="0" borderId="5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</cellXfs>
  <cellStyles count="4">
    <cellStyle name="Currency" xfId="1" builtinId="4"/>
    <cellStyle name="Currency 2" xfId="3" xr:uid="{00000000-0005-0000-0000-000030000000}"/>
    <cellStyle name="Normal" xfId="0" builtinId="0"/>
    <cellStyle name="Normal 2" xfId="2" xr:uid="{D6EA8024-0FC3-4B6E-8D48-29E740B78F89}"/>
  </cellStyles>
  <dxfs count="1"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9</xdr:row>
          <xdr:rowOff>85725</xdr:rowOff>
        </xdr:from>
        <xdr:to>
          <xdr:col>6</xdr:col>
          <xdr:colOff>1409700</xdr:colOff>
          <xdr:row>11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Advanced Filter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56DE0C-36C9-44DA-81CB-92850B6BCF4B}" name="CustomerInfo" displayName="CustomerInfo" ref="A1:K92" totalsRowShown="0">
  <autoFilter ref="A1:K92" xr:uid="{0E56DE0C-36C9-44DA-81CB-92850B6BCF4B}"/>
  <tableColumns count="11">
    <tableColumn id="1" xr3:uid="{82D7383D-621A-44B5-A29A-AC9A55BF437E}" name="Company Name"/>
    <tableColumn id="2" xr3:uid="{14E4781F-E20F-4163-BCFE-411B75C09360}" name="Customer ID"/>
    <tableColumn id="3" xr3:uid="{0E0AC9E0-CEF2-4EEF-AF0E-4321A0CFCB43}" name="Contact Name"/>
    <tableColumn id="4" xr3:uid="{1C17C480-F76C-4585-9D3C-013EF9DCBCDE}" name="Contact Title"/>
    <tableColumn id="5" xr3:uid="{1A8B6164-3A24-4659-A895-F37F8C319580}" name="Address"/>
    <tableColumn id="6" xr3:uid="{0224E962-4DFB-4DEB-964C-81125E5025CA}" name="City"/>
    <tableColumn id="7" xr3:uid="{33B4C237-0F25-47F8-86B6-6EBCD2F488C4}" name="Region"/>
    <tableColumn id="8" xr3:uid="{F949CEFC-95DC-4408-8FD6-F6254E03A138}" name="Postal Code"/>
    <tableColumn id="9" xr3:uid="{8D6AA181-63D4-497F-AA07-779DFCFDDFC1}" name="State"/>
    <tableColumn id="10" xr3:uid="{080C5A6E-C641-40B3-8991-98A8ED63765F}" name="Phone"/>
    <tableColumn id="11" xr3:uid="{03D3FF62-314B-4D16-A3E7-AB1BAEC271BA}" name="Fax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610791-E86A-4F83-8370-596CDA6E5BE2}" name="Table3" displayName="Table3" ref="B15:J1674" totalsRowShown="0" headerRowDxfId="0">
  <tableColumns count="9">
    <tableColumn id="1" xr3:uid="{5800B59F-662F-4960-8D31-EFA2F31B1DB5}" name="OrderID"/>
    <tableColumn id="2" xr3:uid="{ABEC5593-5F4D-4C68-8C78-BC500E126445}" name="CustomerID"/>
    <tableColumn id="3" xr3:uid="{2030FB87-D76E-48FD-88C5-6E571A121ECE}" name="OrderDate"/>
    <tableColumn id="4" xr3:uid="{40F903E6-C0C9-40FD-8CE3-3AAC496FAE50}" name="RequiredDate"/>
    <tableColumn id="5" xr3:uid="{3915F424-A30E-406C-9260-0D03060664A4}" name="ShippedDate"/>
    <tableColumn id="6" xr3:uid="{F0114D42-0430-4BD0-AA76-715C58AFA9B2}" name="ShipVia"/>
    <tableColumn id="7" xr3:uid="{404F137E-653F-4CDA-960E-61CAFE92B7D4}" name="OrderAmount"/>
    <tableColumn id="8" xr3:uid="{A4B7254F-8AB1-4B26-8AC3-E1C07D734381}" name="Customer Name"/>
    <tableColumn id="9" xr3:uid="{3B30AF52-E0B1-4412-BB62-F782C78666CA}" name="Order Month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984D-FFB8-4257-A2C8-9803CB7A9852}">
  <sheetPr codeName="Sheet2"/>
  <dimension ref="A1:K92"/>
  <sheetViews>
    <sheetView topLeftCell="E1" workbookViewId="0">
      <selection activeCell="E85" sqref="E85"/>
    </sheetView>
  </sheetViews>
  <sheetFormatPr defaultRowHeight="15" x14ac:dyDescent="0.25"/>
  <cols>
    <col min="1" max="1" width="23.42578125" bestFit="1" customWidth="1"/>
    <col min="2" max="2" width="14.140625" bestFit="1" customWidth="1"/>
    <col min="3" max="3" width="24.140625" bestFit="1" customWidth="1"/>
    <col min="4" max="4" width="28.5703125" bestFit="1" customWidth="1"/>
    <col min="5" max="5" width="73" bestFit="1" customWidth="1"/>
    <col min="6" max="6" width="19.7109375" bestFit="1" customWidth="1"/>
    <col min="7" max="7" width="14" bestFit="1" customWidth="1"/>
    <col min="8" max="8" width="13.7109375" bestFit="1" customWidth="1"/>
    <col min="9" max="9" width="13.140625" bestFit="1" customWidth="1"/>
    <col min="10" max="11" width="15.28515625" bestFit="1" customWidth="1"/>
  </cols>
  <sheetData>
    <row r="1" spans="1:11" x14ac:dyDescent="0.25">
      <c r="A1" t="s">
        <v>303</v>
      </c>
      <c r="B1" t="s">
        <v>304</v>
      </c>
      <c r="C1" t="s">
        <v>305</v>
      </c>
      <c r="D1" t="s">
        <v>306</v>
      </c>
      <c r="E1" t="s">
        <v>298</v>
      </c>
      <c r="F1" t="s">
        <v>299</v>
      </c>
      <c r="G1" t="s">
        <v>300</v>
      </c>
      <c r="H1" t="s">
        <v>307</v>
      </c>
      <c r="I1" t="s">
        <v>455</v>
      </c>
      <c r="J1" t="s">
        <v>301</v>
      </c>
      <c r="K1" t="s">
        <v>302</v>
      </c>
    </row>
    <row r="2" spans="1:11" x14ac:dyDescent="0.25">
      <c r="A2" t="s">
        <v>316</v>
      </c>
      <c r="B2" t="s">
        <v>29</v>
      </c>
      <c r="C2" s="12" t="s">
        <v>614</v>
      </c>
      <c r="D2" t="s">
        <v>30</v>
      </c>
      <c r="E2" t="s">
        <v>521</v>
      </c>
      <c r="F2" t="s">
        <v>479</v>
      </c>
      <c r="H2">
        <v>382424</v>
      </c>
      <c r="I2" t="s">
        <v>458</v>
      </c>
      <c r="J2" t="s">
        <v>31</v>
      </c>
      <c r="K2" t="s">
        <v>32</v>
      </c>
    </row>
    <row r="3" spans="1:11" x14ac:dyDescent="0.25">
      <c r="A3" t="s">
        <v>317</v>
      </c>
      <c r="B3" t="s">
        <v>33</v>
      </c>
      <c r="C3" s="12" t="s">
        <v>389</v>
      </c>
      <c r="D3" t="s">
        <v>34</v>
      </c>
      <c r="E3" t="s">
        <v>568</v>
      </c>
      <c r="F3" t="s">
        <v>501</v>
      </c>
      <c r="H3">
        <v>600106</v>
      </c>
      <c r="I3" t="s">
        <v>461</v>
      </c>
      <c r="J3" t="s">
        <v>35</v>
      </c>
      <c r="K3" t="s">
        <v>36</v>
      </c>
    </row>
    <row r="4" spans="1:11" x14ac:dyDescent="0.25">
      <c r="A4" t="s">
        <v>318</v>
      </c>
      <c r="B4" t="s">
        <v>37</v>
      </c>
      <c r="C4" s="12" t="s">
        <v>390</v>
      </c>
      <c r="D4" t="s">
        <v>34</v>
      </c>
      <c r="E4" t="s">
        <v>569</v>
      </c>
      <c r="F4" t="s">
        <v>501</v>
      </c>
      <c r="H4">
        <v>600024</v>
      </c>
      <c r="I4" t="s">
        <v>461</v>
      </c>
      <c r="J4" t="s">
        <v>38</v>
      </c>
    </row>
    <row r="5" spans="1:11" x14ac:dyDescent="0.25">
      <c r="A5" t="s">
        <v>319</v>
      </c>
      <c r="B5" t="s">
        <v>39</v>
      </c>
      <c r="C5" s="12" t="s">
        <v>615</v>
      </c>
      <c r="D5" t="s">
        <v>30</v>
      </c>
      <c r="E5" t="s">
        <v>563</v>
      </c>
      <c r="F5" t="s">
        <v>499</v>
      </c>
      <c r="G5" t="s">
        <v>564</v>
      </c>
      <c r="H5">
        <v>302019</v>
      </c>
      <c r="I5" t="s">
        <v>468</v>
      </c>
      <c r="J5" t="s">
        <v>40</v>
      </c>
      <c r="K5" t="s">
        <v>41</v>
      </c>
    </row>
    <row r="6" spans="1:11" x14ac:dyDescent="0.25">
      <c r="A6" t="s">
        <v>320</v>
      </c>
      <c r="B6" t="s">
        <v>42</v>
      </c>
      <c r="C6" s="12" t="s">
        <v>616</v>
      </c>
      <c r="D6" t="s">
        <v>43</v>
      </c>
      <c r="E6" t="s">
        <v>555</v>
      </c>
      <c r="F6" t="s">
        <v>493</v>
      </c>
      <c r="H6">
        <v>793001</v>
      </c>
      <c r="I6" t="s">
        <v>466</v>
      </c>
      <c r="J6" t="s">
        <v>44</v>
      </c>
      <c r="K6" t="s">
        <v>45</v>
      </c>
    </row>
    <row r="7" spans="1:11" x14ac:dyDescent="0.25">
      <c r="A7" t="s">
        <v>321</v>
      </c>
      <c r="B7" t="s">
        <v>46</v>
      </c>
      <c r="C7" s="12" t="s">
        <v>391</v>
      </c>
      <c r="D7" t="s">
        <v>30</v>
      </c>
      <c r="E7" t="s">
        <v>525</v>
      </c>
      <c r="F7" t="s">
        <v>480</v>
      </c>
      <c r="H7">
        <v>395010</v>
      </c>
      <c r="I7" t="s">
        <v>458</v>
      </c>
      <c r="J7" t="s">
        <v>47</v>
      </c>
      <c r="K7" t="s">
        <v>48</v>
      </c>
    </row>
    <row r="8" spans="1:11" x14ac:dyDescent="0.25">
      <c r="A8" t="s">
        <v>322</v>
      </c>
      <c r="B8" t="s">
        <v>49</v>
      </c>
      <c r="C8" s="12" t="s">
        <v>392</v>
      </c>
      <c r="D8" t="s">
        <v>50</v>
      </c>
      <c r="E8" t="s">
        <v>551</v>
      </c>
      <c r="F8" t="s">
        <v>488</v>
      </c>
      <c r="H8">
        <v>400072</v>
      </c>
      <c r="I8" t="s">
        <v>457</v>
      </c>
      <c r="J8" t="s">
        <v>51</v>
      </c>
      <c r="K8" t="s">
        <v>52</v>
      </c>
    </row>
    <row r="9" spans="1:11" x14ac:dyDescent="0.25">
      <c r="A9" t="s">
        <v>323</v>
      </c>
      <c r="B9" t="s">
        <v>53</v>
      </c>
      <c r="C9" s="12" t="s">
        <v>617</v>
      </c>
      <c r="D9" t="s">
        <v>34</v>
      </c>
      <c r="E9" t="s">
        <v>537</v>
      </c>
      <c r="F9" t="s">
        <v>485</v>
      </c>
      <c r="H9">
        <v>834008</v>
      </c>
      <c r="I9" t="s">
        <v>465</v>
      </c>
      <c r="J9" t="s">
        <v>54</v>
      </c>
      <c r="K9" t="s">
        <v>55</v>
      </c>
    </row>
    <row r="10" spans="1:11" x14ac:dyDescent="0.25">
      <c r="A10" t="s">
        <v>325</v>
      </c>
      <c r="B10" t="s">
        <v>56</v>
      </c>
      <c r="C10" s="12" t="s">
        <v>618</v>
      </c>
      <c r="D10" t="s">
        <v>34</v>
      </c>
      <c r="E10" t="s">
        <v>546</v>
      </c>
      <c r="F10" t="s">
        <v>489</v>
      </c>
      <c r="H10">
        <v>412115</v>
      </c>
      <c r="I10" t="s">
        <v>457</v>
      </c>
      <c r="J10" t="s">
        <v>57</v>
      </c>
      <c r="K10" t="s">
        <v>58</v>
      </c>
    </row>
    <row r="11" spans="1:11" x14ac:dyDescent="0.25">
      <c r="A11" t="s">
        <v>324</v>
      </c>
      <c r="B11" t="s">
        <v>59</v>
      </c>
      <c r="C11" s="12" t="s">
        <v>393</v>
      </c>
      <c r="D11" t="s">
        <v>60</v>
      </c>
      <c r="E11" t="s">
        <v>593</v>
      </c>
      <c r="F11" t="s">
        <v>478</v>
      </c>
      <c r="G11" t="s">
        <v>517</v>
      </c>
      <c r="H11">
        <v>495001</v>
      </c>
      <c r="I11" t="s">
        <v>453</v>
      </c>
      <c r="J11" t="s">
        <v>61</v>
      </c>
      <c r="K11" t="s">
        <v>62</v>
      </c>
    </row>
    <row r="12" spans="1:11" x14ac:dyDescent="0.25">
      <c r="A12" t="s">
        <v>326</v>
      </c>
      <c r="B12" t="s">
        <v>63</v>
      </c>
      <c r="C12" s="12" t="s">
        <v>619</v>
      </c>
      <c r="D12" t="s">
        <v>30</v>
      </c>
      <c r="E12" t="s">
        <v>565</v>
      </c>
      <c r="F12" t="s">
        <v>499</v>
      </c>
      <c r="H12">
        <v>302015</v>
      </c>
      <c r="I12" t="s">
        <v>468</v>
      </c>
      <c r="J12" t="s">
        <v>64</v>
      </c>
    </row>
    <row r="13" spans="1:11" x14ac:dyDescent="0.25">
      <c r="A13" t="s">
        <v>327</v>
      </c>
      <c r="B13" t="s">
        <v>65</v>
      </c>
      <c r="C13" s="12" t="s">
        <v>394</v>
      </c>
      <c r="D13" t="s">
        <v>66</v>
      </c>
      <c r="E13" t="s">
        <v>510</v>
      </c>
      <c r="F13" t="s">
        <v>471</v>
      </c>
      <c r="H13">
        <v>781005</v>
      </c>
      <c r="I13" t="s">
        <v>449</v>
      </c>
      <c r="J13" t="s">
        <v>67</v>
      </c>
      <c r="K13" t="s">
        <v>68</v>
      </c>
    </row>
    <row r="14" spans="1:11" x14ac:dyDescent="0.25">
      <c r="A14" t="s">
        <v>328</v>
      </c>
      <c r="B14" t="s">
        <v>69</v>
      </c>
      <c r="C14" s="12" t="s">
        <v>395</v>
      </c>
      <c r="D14" t="s">
        <v>50</v>
      </c>
      <c r="E14" t="s">
        <v>570</v>
      </c>
      <c r="F14" t="s">
        <v>501</v>
      </c>
      <c r="H14">
        <v>600040</v>
      </c>
      <c r="I14" t="s">
        <v>461</v>
      </c>
      <c r="J14" t="s">
        <v>70</v>
      </c>
      <c r="K14" t="s">
        <v>71</v>
      </c>
    </row>
    <row r="15" spans="1:11" x14ac:dyDescent="0.25">
      <c r="A15" t="s">
        <v>329</v>
      </c>
      <c r="B15" t="s">
        <v>72</v>
      </c>
      <c r="C15" s="12" t="s">
        <v>396</v>
      </c>
      <c r="D15" t="s">
        <v>34</v>
      </c>
      <c r="E15" t="s">
        <v>560</v>
      </c>
      <c r="F15" t="s">
        <v>497</v>
      </c>
      <c r="H15">
        <v>141001</v>
      </c>
      <c r="I15" t="s">
        <v>467</v>
      </c>
      <c r="J15" t="s">
        <v>73</v>
      </c>
    </row>
    <row r="16" spans="1:11" x14ac:dyDescent="0.25">
      <c r="A16" t="s">
        <v>330</v>
      </c>
      <c r="B16" t="s">
        <v>74</v>
      </c>
      <c r="C16" s="12" t="s">
        <v>397</v>
      </c>
      <c r="D16" t="s">
        <v>75</v>
      </c>
      <c r="E16" t="s">
        <v>590</v>
      </c>
      <c r="F16" t="s">
        <v>509</v>
      </c>
      <c r="G16" t="s">
        <v>594</v>
      </c>
      <c r="H16">
        <v>734005</v>
      </c>
      <c r="I16" t="s">
        <v>452</v>
      </c>
      <c r="J16" t="s">
        <v>77</v>
      </c>
    </row>
    <row r="17" spans="1:11" x14ac:dyDescent="0.25">
      <c r="A17" t="s">
        <v>17</v>
      </c>
      <c r="B17" t="s">
        <v>78</v>
      </c>
      <c r="C17" s="12" t="s">
        <v>398</v>
      </c>
      <c r="D17" t="s">
        <v>30</v>
      </c>
      <c r="E17" t="s">
        <v>566</v>
      </c>
      <c r="F17" t="s">
        <v>499</v>
      </c>
      <c r="H17">
        <v>302015</v>
      </c>
      <c r="I17" t="s">
        <v>468</v>
      </c>
      <c r="J17" t="s">
        <v>79</v>
      </c>
      <c r="K17" t="s">
        <v>80</v>
      </c>
    </row>
    <row r="18" spans="1:11" x14ac:dyDescent="0.25">
      <c r="A18" t="s">
        <v>331</v>
      </c>
      <c r="B18" t="s">
        <v>81</v>
      </c>
      <c r="C18" s="12" t="s">
        <v>399</v>
      </c>
      <c r="D18" t="s">
        <v>43</v>
      </c>
      <c r="E18" t="s">
        <v>520</v>
      </c>
      <c r="F18" t="s">
        <v>479</v>
      </c>
      <c r="H18">
        <v>380051</v>
      </c>
      <c r="I18" t="s">
        <v>458</v>
      </c>
      <c r="J18" t="s">
        <v>82</v>
      </c>
      <c r="K18" t="s">
        <v>83</v>
      </c>
    </row>
    <row r="19" spans="1:11" x14ac:dyDescent="0.25">
      <c r="A19" t="s">
        <v>332</v>
      </c>
      <c r="B19" t="s">
        <v>84</v>
      </c>
      <c r="C19" s="12" t="s">
        <v>400</v>
      </c>
      <c r="D19" t="s">
        <v>34</v>
      </c>
      <c r="E19" t="s">
        <v>595</v>
      </c>
      <c r="F19" t="s">
        <v>489</v>
      </c>
      <c r="H19">
        <v>411020</v>
      </c>
      <c r="I19" t="s">
        <v>457</v>
      </c>
      <c r="J19" t="s">
        <v>85</v>
      </c>
      <c r="K19" t="s">
        <v>86</v>
      </c>
    </row>
    <row r="20" spans="1:11" x14ac:dyDescent="0.25">
      <c r="A20" t="s">
        <v>16</v>
      </c>
      <c r="B20" t="s">
        <v>87</v>
      </c>
      <c r="C20" s="12" t="s">
        <v>401</v>
      </c>
      <c r="D20" t="s">
        <v>66</v>
      </c>
      <c r="E20" t="s">
        <v>596</v>
      </c>
      <c r="F20" t="s">
        <v>499</v>
      </c>
      <c r="H20">
        <v>302019</v>
      </c>
      <c r="I20" t="s">
        <v>468</v>
      </c>
      <c r="J20" t="s">
        <v>88</v>
      </c>
      <c r="K20" t="s">
        <v>89</v>
      </c>
    </row>
    <row r="21" spans="1:11" x14ac:dyDescent="0.25">
      <c r="A21" t="s">
        <v>15</v>
      </c>
      <c r="B21" t="s">
        <v>90</v>
      </c>
      <c r="C21" s="12" t="s">
        <v>620</v>
      </c>
      <c r="D21" t="s">
        <v>91</v>
      </c>
      <c r="E21" t="s">
        <v>597</v>
      </c>
      <c r="F21" t="s">
        <v>472</v>
      </c>
      <c r="H21">
        <v>695033</v>
      </c>
      <c r="I21" t="s">
        <v>450</v>
      </c>
      <c r="J21" t="s">
        <v>92</v>
      </c>
      <c r="K21" t="s">
        <v>93</v>
      </c>
    </row>
    <row r="22" spans="1:11" x14ac:dyDescent="0.25">
      <c r="A22" t="s">
        <v>333</v>
      </c>
      <c r="B22" t="s">
        <v>94</v>
      </c>
      <c r="C22" s="12" t="s">
        <v>621</v>
      </c>
      <c r="D22" t="s">
        <v>95</v>
      </c>
      <c r="E22" t="s">
        <v>598</v>
      </c>
      <c r="F22" t="s">
        <v>509</v>
      </c>
      <c r="G22" t="s">
        <v>599</v>
      </c>
      <c r="H22">
        <v>734010</v>
      </c>
      <c r="I22" t="s">
        <v>452</v>
      </c>
      <c r="J22" t="s">
        <v>96</v>
      </c>
    </row>
    <row r="23" spans="1:11" x14ac:dyDescent="0.25">
      <c r="A23" t="s">
        <v>334</v>
      </c>
      <c r="B23" t="s">
        <v>613</v>
      </c>
      <c r="C23" s="12" t="s">
        <v>622</v>
      </c>
      <c r="D23" t="s">
        <v>60</v>
      </c>
      <c r="E23" t="s">
        <v>538</v>
      </c>
      <c r="F23" t="s">
        <v>485</v>
      </c>
      <c r="H23">
        <v>834009</v>
      </c>
      <c r="I23" t="s">
        <v>465</v>
      </c>
      <c r="J23" t="s">
        <v>97</v>
      </c>
      <c r="K23" t="s">
        <v>98</v>
      </c>
    </row>
    <row r="24" spans="1:11" x14ac:dyDescent="0.25">
      <c r="A24" t="s">
        <v>335</v>
      </c>
      <c r="B24" t="s">
        <v>99</v>
      </c>
      <c r="C24" s="12" t="s">
        <v>623</v>
      </c>
      <c r="D24" t="s">
        <v>100</v>
      </c>
      <c r="E24" t="s">
        <v>544</v>
      </c>
      <c r="F24" t="s">
        <v>488</v>
      </c>
      <c r="H24">
        <v>400062</v>
      </c>
      <c r="I24" t="s">
        <v>457</v>
      </c>
      <c r="J24" t="s">
        <v>101</v>
      </c>
      <c r="K24" t="s">
        <v>102</v>
      </c>
    </row>
    <row r="25" spans="1:11" x14ac:dyDescent="0.25">
      <c r="A25" t="s">
        <v>336</v>
      </c>
      <c r="B25" t="s">
        <v>103</v>
      </c>
      <c r="C25" s="12" t="s">
        <v>402</v>
      </c>
      <c r="D25" t="s">
        <v>34</v>
      </c>
      <c r="E25" t="s">
        <v>554</v>
      </c>
      <c r="F25" t="s">
        <v>493</v>
      </c>
      <c r="H25">
        <v>793008</v>
      </c>
      <c r="I25" t="s">
        <v>466</v>
      </c>
      <c r="J25" t="s">
        <v>104</v>
      </c>
    </row>
    <row r="26" spans="1:11" x14ac:dyDescent="0.25">
      <c r="A26" t="s">
        <v>337</v>
      </c>
      <c r="B26" t="s">
        <v>105</v>
      </c>
      <c r="C26" s="12" t="s">
        <v>624</v>
      </c>
      <c r="D26" t="s">
        <v>50</v>
      </c>
      <c r="E26" t="s">
        <v>600</v>
      </c>
      <c r="F26" t="s">
        <v>480</v>
      </c>
      <c r="H26">
        <v>394210</v>
      </c>
      <c r="I26" t="s">
        <v>458</v>
      </c>
      <c r="J26" t="s">
        <v>106</v>
      </c>
      <c r="K26" t="s">
        <v>107</v>
      </c>
    </row>
    <row r="27" spans="1:11" x14ac:dyDescent="0.25">
      <c r="A27" t="s">
        <v>338</v>
      </c>
      <c r="B27" t="s">
        <v>108</v>
      </c>
      <c r="C27" s="12" t="s">
        <v>403</v>
      </c>
      <c r="D27" t="s">
        <v>50</v>
      </c>
      <c r="E27" t="s">
        <v>547</v>
      </c>
      <c r="F27" t="s">
        <v>490</v>
      </c>
      <c r="H27">
        <v>422010</v>
      </c>
      <c r="I27" t="s">
        <v>457</v>
      </c>
      <c r="J27" t="s">
        <v>109</v>
      </c>
      <c r="K27" t="s">
        <v>110</v>
      </c>
    </row>
    <row r="28" spans="1:11" x14ac:dyDescent="0.25">
      <c r="A28" t="s">
        <v>339</v>
      </c>
      <c r="B28" t="s">
        <v>111</v>
      </c>
      <c r="C28" s="12" t="s">
        <v>625</v>
      </c>
      <c r="D28" t="s">
        <v>30</v>
      </c>
      <c r="E28" t="s">
        <v>601</v>
      </c>
      <c r="F28" t="s">
        <v>503</v>
      </c>
      <c r="H28">
        <v>506002</v>
      </c>
      <c r="I28" t="s">
        <v>460</v>
      </c>
      <c r="J28" t="s">
        <v>112</v>
      </c>
      <c r="K28" t="s">
        <v>113</v>
      </c>
    </row>
    <row r="29" spans="1:11" x14ac:dyDescent="0.25">
      <c r="A29" t="s">
        <v>340</v>
      </c>
      <c r="B29" t="s">
        <v>114</v>
      </c>
      <c r="C29" s="12" t="s">
        <v>404</v>
      </c>
      <c r="D29" t="s">
        <v>91</v>
      </c>
      <c r="E29" t="s">
        <v>557</v>
      </c>
      <c r="F29" t="s">
        <v>495</v>
      </c>
      <c r="H29">
        <v>751005</v>
      </c>
      <c r="I29" t="s">
        <v>464</v>
      </c>
      <c r="J29" t="s">
        <v>115</v>
      </c>
      <c r="K29" t="s">
        <v>116</v>
      </c>
    </row>
    <row r="30" spans="1:11" x14ac:dyDescent="0.25">
      <c r="A30" t="s">
        <v>341</v>
      </c>
      <c r="B30" t="s">
        <v>117</v>
      </c>
      <c r="C30" s="12" t="s">
        <v>405</v>
      </c>
      <c r="D30" t="s">
        <v>50</v>
      </c>
      <c r="E30" t="s">
        <v>536</v>
      </c>
      <c r="F30" t="s">
        <v>484</v>
      </c>
      <c r="H30">
        <v>828104</v>
      </c>
      <c r="I30" t="s">
        <v>465</v>
      </c>
      <c r="J30" t="s">
        <v>118</v>
      </c>
      <c r="K30" t="s">
        <v>119</v>
      </c>
    </row>
    <row r="31" spans="1:11" x14ac:dyDescent="0.25">
      <c r="A31" t="s">
        <v>342</v>
      </c>
      <c r="B31" t="s">
        <v>120</v>
      </c>
      <c r="C31" s="12" t="s">
        <v>406</v>
      </c>
      <c r="D31" t="s">
        <v>91</v>
      </c>
      <c r="E31" t="s">
        <v>540</v>
      </c>
      <c r="F31" t="s">
        <v>486</v>
      </c>
      <c r="H31">
        <v>831013</v>
      </c>
      <c r="I31" t="s">
        <v>465</v>
      </c>
      <c r="J31" t="s">
        <v>121</v>
      </c>
    </row>
    <row r="32" spans="1:11" x14ac:dyDescent="0.25">
      <c r="A32" t="s">
        <v>343</v>
      </c>
      <c r="B32" t="s">
        <v>122</v>
      </c>
      <c r="C32" s="12" t="s">
        <v>626</v>
      </c>
      <c r="D32" t="s">
        <v>75</v>
      </c>
      <c r="E32" t="s">
        <v>586</v>
      </c>
      <c r="F32" t="s">
        <v>475</v>
      </c>
      <c r="G32" t="s">
        <v>76</v>
      </c>
      <c r="H32">
        <v>700156</v>
      </c>
      <c r="I32" t="s">
        <v>452</v>
      </c>
      <c r="J32" t="s">
        <v>123</v>
      </c>
    </row>
    <row r="33" spans="1:11" x14ac:dyDescent="0.25">
      <c r="A33" t="s">
        <v>344</v>
      </c>
      <c r="B33" t="s">
        <v>124</v>
      </c>
      <c r="C33" s="12" t="s">
        <v>407</v>
      </c>
      <c r="D33" t="s">
        <v>50</v>
      </c>
      <c r="E33" t="s">
        <v>580</v>
      </c>
      <c r="F33" t="s">
        <v>507</v>
      </c>
      <c r="G33" t="s">
        <v>125</v>
      </c>
      <c r="H33">
        <v>211011</v>
      </c>
      <c r="I33" t="s">
        <v>469</v>
      </c>
      <c r="J33" t="s">
        <v>126</v>
      </c>
    </row>
    <row r="34" spans="1:11" x14ac:dyDescent="0.25">
      <c r="A34" t="s">
        <v>345</v>
      </c>
      <c r="B34" t="s">
        <v>127</v>
      </c>
      <c r="C34" s="12" t="s">
        <v>408</v>
      </c>
      <c r="D34" t="s">
        <v>34</v>
      </c>
      <c r="E34" t="s">
        <v>529</v>
      </c>
      <c r="F34" t="s">
        <v>483</v>
      </c>
      <c r="G34" t="s">
        <v>532</v>
      </c>
      <c r="H34">
        <v>122004</v>
      </c>
      <c r="I34" t="s">
        <v>470</v>
      </c>
      <c r="J34" t="s">
        <v>128</v>
      </c>
      <c r="K34" t="s">
        <v>129</v>
      </c>
    </row>
    <row r="35" spans="1:11" x14ac:dyDescent="0.25">
      <c r="A35" t="s">
        <v>346</v>
      </c>
      <c r="B35" t="s">
        <v>130</v>
      </c>
      <c r="C35" s="12" t="s">
        <v>409</v>
      </c>
      <c r="D35" t="s">
        <v>60</v>
      </c>
      <c r="E35" t="s">
        <v>602</v>
      </c>
      <c r="F35" t="s">
        <v>475</v>
      </c>
      <c r="G35" t="s">
        <v>131</v>
      </c>
      <c r="H35">
        <v>700017</v>
      </c>
      <c r="I35" t="s">
        <v>452</v>
      </c>
      <c r="J35" t="s">
        <v>132</v>
      </c>
      <c r="K35" t="s">
        <v>133</v>
      </c>
    </row>
    <row r="36" spans="1:11" x14ac:dyDescent="0.25">
      <c r="A36" t="s">
        <v>347</v>
      </c>
      <c r="B36" t="s">
        <v>134</v>
      </c>
      <c r="C36" s="12" t="s">
        <v>410</v>
      </c>
      <c r="D36" t="s">
        <v>30</v>
      </c>
      <c r="E36" t="s">
        <v>531</v>
      </c>
      <c r="F36" t="s">
        <v>483</v>
      </c>
      <c r="G36" t="s">
        <v>534</v>
      </c>
      <c r="H36">
        <v>122505</v>
      </c>
      <c r="I36" t="s">
        <v>470</v>
      </c>
      <c r="J36" t="s">
        <v>135</v>
      </c>
      <c r="K36" t="s">
        <v>136</v>
      </c>
    </row>
    <row r="37" spans="1:11" x14ac:dyDescent="0.25">
      <c r="A37" t="s">
        <v>348</v>
      </c>
      <c r="B37" t="s">
        <v>137</v>
      </c>
      <c r="C37" s="12" t="s">
        <v>411</v>
      </c>
      <c r="D37" t="s">
        <v>30</v>
      </c>
      <c r="E37" t="s">
        <v>579</v>
      </c>
      <c r="F37" t="s">
        <v>507</v>
      </c>
      <c r="G37" t="s">
        <v>125</v>
      </c>
      <c r="H37">
        <v>211002</v>
      </c>
      <c r="I37" t="s">
        <v>469</v>
      </c>
      <c r="J37" t="s">
        <v>138</v>
      </c>
      <c r="K37" t="s">
        <v>139</v>
      </c>
    </row>
    <row r="38" spans="1:11" x14ac:dyDescent="0.25">
      <c r="A38" t="s">
        <v>349</v>
      </c>
      <c r="B38" t="s">
        <v>140</v>
      </c>
      <c r="C38" s="12" t="s">
        <v>412</v>
      </c>
      <c r="D38" t="s">
        <v>75</v>
      </c>
      <c r="E38" t="s">
        <v>541</v>
      </c>
      <c r="F38" t="s">
        <v>487</v>
      </c>
      <c r="G38" t="s">
        <v>542</v>
      </c>
      <c r="H38">
        <v>560001</v>
      </c>
      <c r="I38" t="s">
        <v>459</v>
      </c>
      <c r="J38" t="s">
        <v>141</v>
      </c>
      <c r="K38" t="s">
        <v>142</v>
      </c>
    </row>
    <row r="39" spans="1:11" x14ac:dyDescent="0.25">
      <c r="A39" t="s">
        <v>14</v>
      </c>
      <c r="B39" t="s">
        <v>143</v>
      </c>
      <c r="C39" s="12" t="s">
        <v>413</v>
      </c>
      <c r="D39" t="s">
        <v>50</v>
      </c>
      <c r="E39" t="s">
        <v>562</v>
      </c>
      <c r="F39" t="s">
        <v>500</v>
      </c>
      <c r="H39">
        <v>342008</v>
      </c>
      <c r="I39" t="s">
        <v>468</v>
      </c>
      <c r="J39" t="s">
        <v>144</v>
      </c>
    </row>
    <row r="40" spans="1:11" x14ac:dyDescent="0.25">
      <c r="A40" t="s">
        <v>350</v>
      </c>
      <c r="B40" t="s">
        <v>145</v>
      </c>
      <c r="C40" s="12" t="s">
        <v>414</v>
      </c>
      <c r="D40" t="s">
        <v>75</v>
      </c>
      <c r="E40" t="s">
        <v>522</v>
      </c>
      <c r="F40" t="s">
        <v>479</v>
      </c>
      <c r="H40">
        <v>380060</v>
      </c>
      <c r="I40" t="s">
        <v>458</v>
      </c>
      <c r="J40" t="s">
        <v>146</v>
      </c>
    </row>
    <row r="41" spans="1:11" x14ac:dyDescent="0.25">
      <c r="A41" t="s">
        <v>351</v>
      </c>
      <c r="B41" t="s">
        <v>147</v>
      </c>
      <c r="C41" s="12" t="s">
        <v>415</v>
      </c>
      <c r="D41" t="s">
        <v>30</v>
      </c>
      <c r="E41" t="s">
        <v>553</v>
      </c>
      <c r="F41" t="s">
        <v>488</v>
      </c>
      <c r="H41">
        <v>400083</v>
      </c>
      <c r="I41" t="s">
        <v>457</v>
      </c>
      <c r="J41" t="s">
        <v>148</v>
      </c>
      <c r="K41" t="s">
        <v>149</v>
      </c>
    </row>
    <row r="42" spans="1:11" x14ac:dyDescent="0.25">
      <c r="A42" t="s">
        <v>352</v>
      </c>
      <c r="B42" t="s">
        <v>150</v>
      </c>
      <c r="C42" s="12" t="s">
        <v>416</v>
      </c>
      <c r="D42" t="s">
        <v>91</v>
      </c>
      <c r="E42" t="s">
        <v>552</v>
      </c>
      <c r="F42" t="s">
        <v>488</v>
      </c>
      <c r="H42">
        <v>400703</v>
      </c>
      <c r="I42" t="s">
        <v>457</v>
      </c>
      <c r="J42" t="s">
        <v>151</v>
      </c>
      <c r="K42" t="s">
        <v>152</v>
      </c>
    </row>
    <row r="43" spans="1:11" x14ac:dyDescent="0.25">
      <c r="A43" t="s">
        <v>353</v>
      </c>
      <c r="B43" t="s">
        <v>153</v>
      </c>
      <c r="C43" s="12" t="s">
        <v>417</v>
      </c>
      <c r="D43" t="s">
        <v>95</v>
      </c>
      <c r="E43" t="s">
        <v>515</v>
      </c>
      <c r="F43" t="s">
        <v>477</v>
      </c>
      <c r="G43" t="s">
        <v>516</v>
      </c>
      <c r="H43">
        <v>492001</v>
      </c>
      <c r="I43" t="s">
        <v>453</v>
      </c>
      <c r="J43" t="s">
        <v>154</v>
      </c>
      <c r="K43" t="s">
        <v>155</v>
      </c>
    </row>
    <row r="44" spans="1:11" x14ac:dyDescent="0.25">
      <c r="A44" t="s">
        <v>354</v>
      </c>
      <c r="B44" t="s">
        <v>156</v>
      </c>
      <c r="C44" s="12" t="s">
        <v>418</v>
      </c>
      <c r="D44" t="s">
        <v>50</v>
      </c>
      <c r="E44" t="s">
        <v>585</v>
      </c>
      <c r="F44" t="s">
        <v>508</v>
      </c>
      <c r="G44" t="s">
        <v>157</v>
      </c>
      <c r="H44">
        <v>282007</v>
      </c>
      <c r="I44" t="s">
        <v>469</v>
      </c>
      <c r="J44" t="s">
        <v>158</v>
      </c>
      <c r="K44" t="s">
        <v>159</v>
      </c>
    </row>
    <row r="45" spans="1:11" x14ac:dyDescent="0.25">
      <c r="A45" t="s">
        <v>355</v>
      </c>
      <c r="B45" t="s">
        <v>160</v>
      </c>
      <c r="C45" s="12" t="s">
        <v>419</v>
      </c>
      <c r="D45" t="s">
        <v>30</v>
      </c>
      <c r="E45" t="s">
        <v>603</v>
      </c>
      <c r="F45" t="s">
        <v>479</v>
      </c>
      <c r="H45">
        <v>380024</v>
      </c>
      <c r="I45" t="s">
        <v>458</v>
      </c>
      <c r="J45" t="s">
        <v>161</v>
      </c>
      <c r="K45" t="s">
        <v>162</v>
      </c>
    </row>
    <row r="46" spans="1:11" x14ac:dyDescent="0.25">
      <c r="A46" t="s">
        <v>13</v>
      </c>
      <c r="B46" t="s">
        <v>163</v>
      </c>
      <c r="C46" s="12" t="s">
        <v>627</v>
      </c>
      <c r="D46" t="s">
        <v>34</v>
      </c>
      <c r="E46" t="s">
        <v>584</v>
      </c>
      <c r="F46" t="s">
        <v>508</v>
      </c>
      <c r="G46" t="s">
        <v>164</v>
      </c>
      <c r="H46">
        <v>282002</v>
      </c>
      <c r="I46" t="s">
        <v>469</v>
      </c>
      <c r="J46" t="s">
        <v>165</v>
      </c>
    </row>
    <row r="47" spans="1:11" x14ac:dyDescent="0.25">
      <c r="A47" t="s">
        <v>356</v>
      </c>
      <c r="B47" t="s">
        <v>166</v>
      </c>
      <c r="C47" s="12" t="s">
        <v>628</v>
      </c>
      <c r="D47" t="s">
        <v>60</v>
      </c>
      <c r="E47" t="s">
        <v>528</v>
      </c>
      <c r="F47" t="s">
        <v>482</v>
      </c>
      <c r="G47" t="s">
        <v>535</v>
      </c>
      <c r="H47">
        <v>121002</v>
      </c>
      <c r="I47" t="s">
        <v>470</v>
      </c>
      <c r="J47" t="s">
        <v>167</v>
      </c>
      <c r="K47" t="s">
        <v>168</v>
      </c>
    </row>
    <row r="48" spans="1:11" x14ac:dyDescent="0.25">
      <c r="A48" t="s">
        <v>357</v>
      </c>
      <c r="B48" t="s">
        <v>169</v>
      </c>
      <c r="C48" s="12" t="s">
        <v>629</v>
      </c>
      <c r="D48" t="s">
        <v>34</v>
      </c>
      <c r="E48" t="s">
        <v>530</v>
      </c>
      <c r="F48" t="s">
        <v>483</v>
      </c>
      <c r="G48" t="s">
        <v>533</v>
      </c>
      <c r="H48">
        <v>122017</v>
      </c>
      <c r="I48" t="s">
        <v>470</v>
      </c>
      <c r="J48" t="s">
        <v>170</v>
      </c>
      <c r="K48" t="s">
        <v>171</v>
      </c>
    </row>
    <row r="49" spans="1:11" x14ac:dyDescent="0.25">
      <c r="A49" t="s">
        <v>358</v>
      </c>
      <c r="B49" t="s">
        <v>172</v>
      </c>
      <c r="C49" s="12" t="s">
        <v>630</v>
      </c>
      <c r="D49" t="s">
        <v>91</v>
      </c>
      <c r="E49" t="s">
        <v>604</v>
      </c>
      <c r="F49" t="s">
        <v>507</v>
      </c>
      <c r="G49" t="s">
        <v>125</v>
      </c>
      <c r="H49">
        <v>211012</v>
      </c>
      <c r="I49" t="s">
        <v>469</v>
      </c>
      <c r="J49" t="s">
        <v>173</v>
      </c>
      <c r="K49" t="s">
        <v>174</v>
      </c>
    </row>
    <row r="50" spans="1:11" x14ac:dyDescent="0.25">
      <c r="A50" t="s">
        <v>359</v>
      </c>
      <c r="B50" t="s">
        <v>175</v>
      </c>
      <c r="C50" s="12" t="s">
        <v>420</v>
      </c>
      <c r="D50" t="s">
        <v>50</v>
      </c>
      <c r="E50" t="s">
        <v>605</v>
      </c>
      <c r="F50" t="s">
        <v>502</v>
      </c>
      <c r="H50">
        <v>500058</v>
      </c>
      <c r="I50" t="s">
        <v>460</v>
      </c>
      <c r="J50" t="s">
        <v>176</v>
      </c>
      <c r="K50" t="s">
        <v>177</v>
      </c>
    </row>
    <row r="51" spans="1:11" x14ac:dyDescent="0.25">
      <c r="A51" t="s">
        <v>12</v>
      </c>
      <c r="B51" t="s">
        <v>178</v>
      </c>
      <c r="C51" s="12" t="s">
        <v>421</v>
      </c>
      <c r="D51" t="s">
        <v>66</v>
      </c>
      <c r="E51" t="s">
        <v>512</v>
      </c>
      <c r="F51" t="s">
        <v>474</v>
      </c>
      <c r="H51">
        <v>800013</v>
      </c>
      <c r="I51" t="s">
        <v>451</v>
      </c>
      <c r="J51" t="s">
        <v>179</v>
      </c>
      <c r="K51" t="s">
        <v>180</v>
      </c>
    </row>
    <row r="52" spans="1:11" x14ac:dyDescent="0.25">
      <c r="A52" t="s">
        <v>360</v>
      </c>
      <c r="B52" t="s">
        <v>181</v>
      </c>
      <c r="C52" s="12" t="s">
        <v>422</v>
      </c>
      <c r="D52" t="s">
        <v>95</v>
      </c>
      <c r="E52" t="s">
        <v>513</v>
      </c>
      <c r="F52" t="s">
        <v>477</v>
      </c>
      <c r="G52" t="s">
        <v>514</v>
      </c>
      <c r="H52">
        <v>492015</v>
      </c>
      <c r="I52" t="s">
        <v>453</v>
      </c>
      <c r="J52" t="s">
        <v>182</v>
      </c>
      <c r="K52" t="s">
        <v>183</v>
      </c>
    </row>
    <row r="53" spans="1:11" x14ac:dyDescent="0.25">
      <c r="A53" t="s">
        <v>361</v>
      </c>
      <c r="B53" t="s">
        <v>184</v>
      </c>
      <c r="C53" s="12" t="s">
        <v>423</v>
      </c>
      <c r="D53" t="s">
        <v>95</v>
      </c>
      <c r="E53" t="s">
        <v>606</v>
      </c>
      <c r="F53" t="s">
        <v>480</v>
      </c>
      <c r="H53">
        <v>395011</v>
      </c>
      <c r="I53" t="s">
        <v>458</v>
      </c>
      <c r="J53" t="s">
        <v>185</v>
      </c>
    </row>
    <row r="54" spans="1:11" x14ac:dyDescent="0.25">
      <c r="A54" t="s">
        <v>362</v>
      </c>
      <c r="B54" t="s">
        <v>186</v>
      </c>
      <c r="C54" s="12" t="s">
        <v>424</v>
      </c>
      <c r="D54" t="s">
        <v>75</v>
      </c>
      <c r="E54" t="s">
        <v>567</v>
      </c>
      <c r="F54" t="s">
        <v>499</v>
      </c>
      <c r="H54">
        <v>302019</v>
      </c>
      <c r="I54" t="s">
        <v>468</v>
      </c>
      <c r="J54" t="s">
        <v>187</v>
      </c>
      <c r="K54" t="s">
        <v>188</v>
      </c>
    </row>
    <row r="55" spans="1:11" x14ac:dyDescent="0.25">
      <c r="A55" t="s">
        <v>363</v>
      </c>
      <c r="B55" t="s">
        <v>189</v>
      </c>
      <c r="C55" s="12" t="s">
        <v>631</v>
      </c>
      <c r="D55" t="s">
        <v>66</v>
      </c>
      <c r="E55" t="s">
        <v>511</v>
      </c>
      <c r="F55" t="s">
        <v>471</v>
      </c>
      <c r="H55">
        <v>781005</v>
      </c>
      <c r="I55" t="s">
        <v>449</v>
      </c>
      <c r="J55" t="s">
        <v>190</v>
      </c>
      <c r="K55" t="s">
        <v>191</v>
      </c>
    </row>
    <row r="56" spans="1:11" x14ac:dyDescent="0.25">
      <c r="A56" t="s">
        <v>364</v>
      </c>
      <c r="B56" t="s">
        <v>192</v>
      </c>
      <c r="C56" s="12" t="s">
        <v>632</v>
      </c>
      <c r="D56" t="s">
        <v>30</v>
      </c>
      <c r="E56" t="s">
        <v>577</v>
      </c>
      <c r="F56" t="s">
        <v>506</v>
      </c>
      <c r="G56" t="s">
        <v>193</v>
      </c>
      <c r="H56">
        <v>226005</v>
      </c>
      <c r="I56" t="s">
        <v>469</v>
      </c>
      <c r="J56" t="s">
        <v>194</v>
      </c>
      <c r="K56" t="s">
        <v>195</v>
      </c>
    </row>
    <row r="57" spans="1:11" x14ac:dyDescent="0.25">
      <c r="A57" t="s">
        <v>365</v>
      </c>
      <c r="B57" t="s">
        <v>196</v>
      </c>
      <c r="C57" s="12" t="s">
        <v>633</v>
      </c>
      <c r="D57" t="s">
        <v>34</v>
      </c>
      <c r="E57" t="s">
        <v>524</v>
      </c>
      <c r="F57" t="s">
        <v>480</v>
      </c>
      <c r="H57">
        <v>395002</v>
      </c>
      <c r="I57" t="s">
        <v>458</v>
      </c>
      <c r="J57" t="s">
        <v>197</v>
      </c>
      <c r="K57" t="s">
        <v>198</v>
      </c>
    </row>
    <row r="58" spans="1:11" x14ac:dyDescent="0.25">
      <c r="A58" t="s">
        <v>366</v>
      </c>
      <c r="B58" t="s">
        <v>199</v>
      </c>
      <c r="C58" s="12" t="s">
        <v>425</v>
      </c>
      <c r="D58" t="s">
        <v>34</v>
      </c>
      <c r="E58" t="s">
        <v>548</v>
      </c>
      <c r="F58" t="s">
        <v>490</v>
      </c>
      <c r="H58">
        <v>422003</v>
      </c>
      <c r="I58" t="s">
        <v>457</v>
      </c>
      <c r="J58" t="s">
        <v>200</v>
      </c>
      <c r="K58" t="s">
        <v>201</v>
      </c>
    </row>
    <row r="59" spans="1:11" x14ac:dyDescent="0.25">
      <c r="A59" t="s">
        <v>11</v>
      </c>
      <c r="B59" t="s">
        <v>202</v>
      </c>
      <c r="C59" s="12" t="s">
        <v>426</v>
      </c>
      <c r="D59" t="s">
        <v>30</v>
      </c>
      <c r="E59" t="s">
        <v>571</v>
      </c>
      <c r="F59" t="s">
        <v>501</v>
      </c>
      <c r="H59">
        <v>600099</v>
      </c>
      <c r="I59" t="s">
        <v>461</v>
      </c>
      <c r="J59" t="s">
        <v>203</v>
      </c>
      <c r="K59" t="s">
        <v>204</v>
      </c>
    </row>
    <row r="60" spans="1:11" x14ac:dyDescent="0.25">
      <c r="A60" t="s">
        <v>367</v>
      </c>
      <c r="B60" t="s">
        <v>205</v>
      </c>
      <c r="C60" s="12" t="s">
        <v>427</v>
      </c>
      <c r="D60" t="s">
        <v>91</v>
      </c>
      <c r="E60" t="s">
        <v>543</v>
      </c>
      <c r="F60" t="s">
        <v>473</v>
      </c>
      <c r="H60">
        <v>682031</v>
      </c>
      <c r="I60" t="s">
        <v>450</v>
      </c>
      <c r="J60" t="s">
        <v>206</v>
      </c>
      <c r="K60" t="s">
        <v>207</v>
      </c>
    </row>
    <row r="61" spans="1:11" x14ac:dyDescent="0.25">
      <c r="A61" t="s">
        <v>368</v>
      </c>
      <c r="B61" t="s">
        <v>208</v>
      </c>
      <c r="C61" s="12" t="s">
        <v>634</v>
      </c>
      <c r="D61" t="s">
        <v>30</v>
      </c>
      <c r="E61" t="s">
        <v>558</v>
      </c>
      <c r="F61" t="s">
        <v>495</v>
      </c>
      <c r="H61">
        <v>751019</v>
      </c>
      <c r="I61" t="s">
        <v>464</v>
      </c>
      <c r="J61" t="s">
        <v>209</v>
      </c>
    </row>
    <row r="62" spans="1:11" x14ac:dyDescent="0.25">
      <c r="A62" t="s">
        <v>369</v>
      </c>
      <c r="B62" t="s">
        <v>210</v>
      </c>
      <c r="C62" s="12" t="s">
        <v>635</v>
      </c>
      <c r="D62" t="s">
        <v>60</v>
      </c>
      <c r="E62" t="s">
        <v>588</v>
      </c>
      <c r="F62" t="s">
        <v>475</v>
      </c>
      <c r="G62" t="s">
        <v>131</v>
      </c>
      <c r="H62">
        <v>700094</v>
      </c>
      <c r="I62" t="s">
        <v>452</v>
      </c>
      <c r="J62" t="s">
        <v>211</v>
      </c>
      <c r="K62" t="s">
        <v>212</v>
      </c>
    </row>
    <row r="63" spans="1:11" x14ac:dyDescent="0.25">
      <c r="A63" t="s">
        <v>370</v>
      </c>
      <c r="B63" t="s">
        <v>213</v>
      </c>
      <c r="C63" s="12" t="s">
        <v>428</v>
      </c>
      <c r="D63" t="s">
        <v>95</v>
      </c>
      <c r="E63" t="s">
        <v>591</v>
      </c>
      <c r="F63" t="s">
        <v>476</v>
      </c>
      <c r="G63" t="s">
        <v>76</v>
      </c>
      <c r="H63">
        <v>713216</v>
      </c>
      <c r="I63" t="s">
        <v>452</v>
      </c>
      <c r="J63" t="s">
        <v>214</v>
      </c>
    </row>
    <row r="64" spans="1:11" x14ac:dyDescent="0.25">
      <c r="A64" t="s">
        <v>10</v>
      </c>
      <c r="B64" t="s">
        <v>215</v>
      </c>
      <c r="C64" s="12" t="s">
        <v>429</v>
      </c>
      <c r="D64" t="s">
        <v>60</v>
      </c>
      <c r="E64" t="s">
        <v>523</v>
      </c>
      <c r="F64" t="s">
        <v>479</v>
      </c>
      <c r="H64">
        <v>382421</v>
      </c>
      <c r="I64" t="s">
        <v>458</v>
      </c>
      <c r="J64" t="s">
        <v>216</v>
      </c>
    </row>
    <row r="65" spans="1:11" x14ac:dyDescent="0.25">
      <c r="A65" t="s">
        <v>9</v>
      </c>
      <c r="B65" t="s">
        <v>217</v>
      </c>
      <c r="C65" s="12" t="s">
        <v>636</v>
      </c>
      <c r="D65" t="s">
        <v>30</v>
      </c>
      <c r="E65" t="s">
        <v>607</v>
      </c>
      <c r="F65" t="s">
        <v>471</v>
      </c>
      <c r="H65">
        <v>781005</v>
      </c>
      <c r="I65" t="s">
        <v>449</v>
      </c>
      <c r="J65" t="s">
        <v>218</v>
      </c>
      <c r="K65" t="s">
        <v>219</v>
      </c>
    </row>
    <row r="66" spans="1:11" x14ac:dyDescent="0.25">
      <c r="A66" t="s">
        <v>371</v>
      </c>
      <c r="B66" t="s">
        <v>220</v>
      </c>
      <c r="C66" s="12" t="s">
        <v>430</v>
      </c>
      <c r="D66" t="s">
        <v>221</v>
      </c>
      <c r="E66" t="s">
        <v>576</v>
      </c>
      <c r="F66" t="s">
        <v>506</v>
      </c>
      <c r="G66" t="s">
        <v>222</v>
      </c>
      <c r="H66">
        <v>226010</v>
      </c>
      <c r="I66" t="s">
        <v>469</v>
      </c>
      <c r="J66" t="s">
        <v>223</v>
      </c>
      <c r="K66" t="s">
        <v>224</v>
      </c>
    </row>
    <row r="67" spans="1:11" x14ac:dyDescent="0.25">
      <c r="A67" t="s">
        <v>372</v>
      </c>
      <c r="B67" t="s">
        <v>225</v>
      </c>
      <c r="C67" s="12" t="s">
        <v>637</v>
      </c>
      <c r="D67" t="s">
        <v>75</v>
      </c>
      <c r="E67" t="s">
        <v>573</v>
      </c>
      <c r="F67" t="s">
        <v>502</v>
      </c>
      <c r="H67">
        <v>500002</v>
      </c>
      <c r="I67" t="s">
        <v>460</v>
      </c>
      <c r="J67" t="s">
        <v>226</v>
      </c>
      <c r="K67" t="s">
        <v>227</v>
      </c>
    </row>
    <row r="68" spans="1:11" x14ac:dyDescent="0.25">
      <c r="A68" t="s">
        <v>8</v>
      </c>
      <c r="B68" t="s">
        <v>228</v>
      </c>
      <c r="C68" s="12" t="s">
        <v>431</v>
      </c>
      <c r="D68" t="s">
        <v>100</v>
      </c>
      <c r="E68" t="s">
        <v>589</v>
      </c>
      <c r="F68" t="s">
        <v>509</v>
      </c>
      <c r="G68" t="s">
        <v>131</v>
      </c>
      <c r="H68">
        <v>734001</v>
      </c>
      <c r="I68" t="s">
        <v>452</v>
      </c>
      <c r="J68" t="s">
        <v>229</v>
      </c>
    </row>
    <row r="69" spans="1:11" x14ac:dyDescent="0.25">
      <c r="A69" t="s">
        <v>7</v>
      </c>
      <c r="B69" t="s">
        <v>230</v>
      </c>
      <c r="C69" s="12" t="s">
        <v>638</v>
      </c>
      <c r="D69" t="s">
        <v>91</v>
      </c>
      <c r="E69" t="s">
        <v>561</v>
      </c>
      <c r="F69" t="s">
        <v>498</v>
      </c>
      <c r="H69">
        <v>144002</v>
      </c>
      <c r="I69" t="s">
        <v>467</v>
      </c>
      <c r="J69" t="s">
        <v>231</v>
      </c>
    </row>
    <row r="70" spans="1:11" x14ac:dyDescent="0.25">
      <c r="A70" t="s">
        <v>373</v>
      </c>
      <c r="B70" t="s">
        <v>232</v>
      </c>
      <c r="C70" s="12" t="s">
        <v>432</v>
      </c>
      <c r="D70" t="s">
        <v>60</v>
      </c>
      <c r="E70" t="s">
        <v>539</v>
      </c>
      <c r="F70" t="s">
        <v>485</v>
      </c>
      <c r="H70">
        <v>834001</v>
      </c>
      <c r="I70" t="s">
        <v>465</v>
      </c>
      <c r="J70" t="s">
        <v>233</v>
      </c>
      <c r="K70" t="s">
        <v>234</v>
      </c>
    </row>
    <row r="71" spans="1:11" x14ac:dyDescent="0.25">
      <c r="A71" t="s">
        <v>374</v>
      </c>
      <c r="B71" t="s">
        <v>235</v>
      </c>
      <c r="C71" s="12" t="s">
        <v>463</v>
      </c>
      <c r="D71" t="s">
        <v>34</v>
      </c>
      <c r="E71" t="s">
        <v>556</v>
      </c>
      <c r="F71" t="s">
        <v>494</v>
      </c>
      <c r="H71">
        <v>796001</v>
      </c>
      <c r="I71" t="s">
        <v>462</v>
      </c>
      <c r="J71" t="s">
        <v>236</v>
      </c>
      <c r="K71" t="s">
        <v>237</v>
      </c>
    </row>
    <row r="72" spans="1:11" x14ac:dyDescent="0.25">
      <c r="A72" t="s">
        <v>375</v>
      </c>
      <c r="B72" t="s">
        <v>238</v>
      </c>
      <c r="C72" s="12" t="s">
        <v>433</v>
      </c>
      <c r="D72" t="s">
        <v>30</v>
      </c>
      <c r="E72" t="s">
        <v>608</v>
      </c>
      <c r="F72" t="s">
        <v>506</v>
      </c>
      <c r="G72" t="s">
        <v>239</v>
      </c>
      <c r="H72">
        <v>226018</v>
      </c>
      <c r="I72" t="s">
        <v>469</v>
      </c>
      <c r="J72" t="s">
        <v>240</v>
      </c>
    </row>
    <row r="73" spans="1:11" x14ac:dyDescent="0.25">
      <c r="A73" t="s">
        <v>6</v>
      </c>
      <c r="B73" t="s">
        <v>241</v>
      </c>
      <c r="C73" s="12" t="s">
        <v>434</v>
      </c>
      <c r="D73" t="s">
        <v>91</v>
      </c>
      <c r="E73" t="s">
        <v>609</v>
      </c>
      <c r="F73" t="s">
        <v>499</v>
      </c>
      <c r="H73">
        <v>302019</v>
      </c>
      <c r="I73" t="s">
        <v>468</v>
      </c>
      <c r="J73" t="s">
        <v>242</v>
      </c>
      <c r="K73" t="s">
        <v>243</v>
      </c>
    </row>
    <row r="74" spans="1:11" x14ac:dyDescent="0.25">
      <c r="A74" t="s">
        <v>5</v>
      </c>
      <c r="B74" t="s">
        <v>244</v>
      </c>
      <c r="C74" s="12" t="s">
        <v>435</v>
      </c>
      <c r="D74" t="s">
        <v>34</v>
      </c>
      <c r="E74" t="s">
        <v>519</v>
      </c>
      <c r="F74" t="s">
        <v>454</v>
      </c>
      <c r="H74">
        <v>110034</v>
      </c>
      <c r="I74" t="s">
        <v>454</v>
      </c>
      <c r="J74" t="s">
        <v>245</v>
      </c>
      <c r="K74" t="s">
        <v>246</v>
      </c>
    </row>
    <row r="75" spans="1:11" x14ac:dyDescent="0.25">
      <c r="A75" t="s">
        <v>376</v>
      </c>
      <c r="B75" t="s">
        <v>247</v>
      </c>
      <c r="C75" s="12" t="s">
        <v>436</v>
      </c>
      <c r="D75" t="s">
        <v>50</v>
      </c>
      <c r="E75" t="s">
        <v>549</v>
      </c>
      <c r="F75" t="s">
        <v>491</v>
      </c>
      <c r="H75">
        <v>444602</v>
      </c>
      <c r="I75" t="s">
        <v>457</v>
      </c>
      <c r="J75" t="s">
        <v>248</v>
      </c>
      <c r="K75" t="s">
        <v>249</v>
      </c>
    </row>
    <row r="76" spans="1:11" x14ac:dyDescent="0.25">
      <c r="A76" t="s">
        <v>377</v>
      </c>
      <c r="B76" t="s">
        <v>250</v>
      </c>
      <c r="C76" s="12" t="s">
        <v>437</v>
      </c>
      <c r="D76" t="s">
        <v>91</v>
      </c>
      <c r="E76" t="s">
        <v>582</v>
      </c>
      <c r="F76" t="s">
        <v>507</v>
      </c>
      <c r="G76" t="s">
        <v>251</v>
      </c>
      <c r="H76">
        <v>211002</v>
      </c>
      <c r="I76" t="s">
        <v>469</v>
      </c>
      <c r="J76" t="s">
        <v>252</v>
      </c>
      <c r="K76" t="s">
        <v>253</v>
      </c>
    </row>
    <row r="77" spans="1:11" x14ac:dyDescent="0.25">
      <c r="A77" t="s">
        <v>378</v>
      </c>
      <c r="B77" t="s">
        <v>254</v>
      </c>
      <c r="C77" s="12" t="s">
        <v>438</v>
      </c>
      <c r="D77" t="s">
        <v>60</v>
      </c>
      <c r="E77" t="s">
        <v>610</v>
      </c>
      <c r="F77" t="s">
        <v>474</v>
      </c>
      <c r="H77">
        <v>800014</v>
      </c>
      <c r="I77" t="s">
        <v>451</v>
      </c>
      <c r="J77" t="s">
        <v>255</v>
      </c>
      <c r="K77" t="s">
        <v>256</v>
      </c>
    </row>
    <row r="78" spans="1:11" x14ac:dyDescent="0.25">
      <c r="A78" t="s">
        <v>4</v>
      </c>
      <c r="B78" t="s">
        <v>257</v>
      </c>
      <c r="C78" s="12" t="s">
        <v>439</v>
      </c>
      <c r="D78" t="s">
        <v>50</v>
      </c>
      <c r="E78" t="s">
        <v>611</v>
      </c>
      <c r="F78" t="s">
        <v>508</v>
      </c>
      <c r="G78" t="s">
        <v>125</v>
      </c>
      <c r="H78">
        <v>282010</v>
      </c>
      <c r="I78" t="s">
        <v>469</v>
      </c>
      <c r="J78" t="s">
        <v>258</v>
      </c>
    </row>
    <row r="79" spans="1:11" x14ac:dyDescent="0.25">
      <c r="A79" t="s">
        <v>3</v>
      </c>
      <c r="B79" t="s">
        <v>259</v>
      </c>
      <c r="C79" s="12" t="s">
        <v>440</v>
      </c>
      <c r="D79" t="s">
        <v>95</v>
      </c>
      <c r="E79" t="s">
        <v>578</v>
      </c>
      <c r="F79" t="s">
        <v>506</v>
      </c>
      <c r="G79" t="s">
        <v>260</v>
      </c>
      <c r="H79">
        <v>226014</v>
      </c>
      <c r="I79" t="s">
        <v>469</v>
      </c>
      <c r="J79" t="s">
        <v>261</v>
      </c>
      <c r="K79" t="s">
        <v>262</v>
      </c>
    </row>
    <row r="80" spans="1:11" x14ac:dyDescent="0.25">
      <c r="A80" t="s">
        <v>379</v>
      </c>
      <c r="B80" t="s">
        <v>263</v>
      </c>
      <c r="C80" s="12" t="s">
        <v>639</v>
      </c>
      <c r="D80" t="s">
        <v>50</v>
      </c>
      <c r="E80" t="s">
        <v>526</v>
      </c>
      <c r="F80" t="s">
        <v>481</v>
      </c>
      <c r="H80">
        <v>360001</v>
      </c>
      <c r="I80" t="s">
        <v>458</v>
      </c>
      <c r="J80" t="s">
        <v>264</v>
      </c>
      <c r="K80" t="s">
        <v>265</v>
      </c>
    </row>
    <row r="81" spans="1:11" x14ac:dyDescent="0.25">
      <c r="A81" t="s">
        <v>2</v>
      </c>
      <c r="B81" t="s">
        <v>266</v>
      </c>
      <c r="C81" s="12" t="s">
        <v>441</v>
      </c>
      <c r="D81" t="s">
        <v>34</v>
      </c>
      <c r="E81" t="s">
        <v>572</v>
      </c>
      <c r="F81" t="s">
        <v>501</v>
      </c>
      <c r="H81">
        <v>600037</v>
      </c>
      <c r="I81" t="s">
        <v>461</v>
      </c>
      <c r="J81" t="s">
        <v>267</v>
      </c>
    </row>
    <row r="82" spans="1:11" x14ac:dyDescent="0.25">
      <c r="A82" t="s">
        <v>380</v>
      </c>
      <c r="B82" t="s">
        <v>268</v>
      </c>
      <c r="C82" s="12" t="s">
        <v>442</v>
      </c>
      <c r="D82" t="s">
        <v>30</v>
      </c>
      <c r="E82" t="s">
        <v>592</v>
      </c>
      <c r="F82" t="s">
        <v>476</v>
      </c>
      <c r="G82" t="s">
        <v>76</v>
      </c>
      <c r="H82">
        <v>713213</v>
      </c>
      <c r="I82" t="s">
        <v>452</v>
      </c>
      <c r="J82" t="s">
        <v>269</v>
      </c>
      <c r="K82" t="s">
        <v>270</v>
      </c>
    </row>
    <row r="83" spans="1:11" x14ac:dyDescent="0.25">
      <c r="A83" t="s">
        <v>381</v>
      </c>
      <c r="B83" t="s">
        <v>271</v>
      </c>
      <c r="C83" s="12" t="s">
        <v>443</v>
      </c>
      <c r="D83" t="s">
        <v>75</v>
      </c>
      <c r="E83" t="s">
        <v>581</v>
      </c>
      <c r="F83" t="s">
        <v>507</v>
      </c>
      <c r="G83" t="s">
        <v>157</v>
      </c>
      <c r="H83">
        <v>211003</v>
      </c>
      <c r="I83" t="s">
        <v>469</v>
      </c>
      <c r="J83" t="s">
        <v>272</v>
      </c>
      <c r="K83" t="s">
        <v>273</v>
      </c>
    </row>
    <row r="84" spans="1:11" x14ac:dyDescent="0.25">
      <c r="A84" t="s">
        <v>382</v>
      </c>
      <c r="B84" t="s">
        <v>274</v>
      </c>
      <c r="C84" s="12" t="s">
        <v>444</v>
      </c>
      <c r="D84" t="s">
        <v>91</v>
      </c>
      <c r="E84" t="s">
        <v>518</v>
      </c>
      <c r="F84" t="s">
        <v>454</v>
      </c>
      <c r="H84">
        <v>110005</v>
      </c>
      <c r="I84" t="s">
        <v>454</v>
      </c>
      <c r="J84" t="s">
        <v>275</v>
      </c>
      <c r="K84" t="s">
        <v>276</v>
      </c>
    </row>
    <row r="85" spans="1:11" x14ac:dyDescent="0.25">
      <c r="A85" t="s">
        <v>383</v>
      </c>
      <c r="B85" t="s">
        <v>277</v>
      </c>
      <c r="C85" s="12" t="s">
        <v>445</v>
      </c>
      <c r="D85" t="s">
        <v>66</v>
      </c>
      <c r="E85" t="s">
        <v>545</v>
      </c>
      <c r="F85" t="s">
        <v>489</v>
      </c>
      <c r="H85">
        <v>411007</v>
      </c>
      <c r="I85" t="s">
        <v>457</v>
      </c>
      <c r="J85" t="s">
        <v>278</v>
      </c>
      <c r="K85" t="s">
        <v>279</v>
      </c>
    </row>
    <row r="86" spans="1:11" x14ac:dyDescent="0.25">
      <c r="A86" t="s">
        <v>384</v>
      </c>
      <c r="B86" t="s">
        <v>280</v>
      </c>
      <c r="C86" s="12" t="s">
        <v>446</v>
      </c>
      <c r="D86" t="s">
        <v>60</v>
      </c>
      <c r="E86" t="s">
        <v>550</v>
      </c>
      <c r="F86" t="s">
        <v>492</v>
      </c>
      <c r="H86">
        <v>416003</v>
      </c>
      <c r="I86" t="s">
        <v>457</v>
      </c>
      <c r="J86" t="s">
        <v>281</v>
      </c>
      <c r="K86" t="s">
        <v>282</v>
      </c>
    </row>
    <row r="87" spans="1:11" x14ac:dyDescent="0.25">
      <c r="A87" t="s">
        <v>385</v>
      </c>
      <c r="B87" t="s">
        <v>283</v>
      </c>
      <c r="C87" t="s">
        <v>640</v>
      </c>
      <c r="D87" t="s">
        <v>30</v>
      </c>
      <c r="E87" t="s">
        <v>527</v>
      </c>
      <c r="F87" t="s">
        <v>481</v>
      </c>
      <c r="H87">
        <v>360001</v>
      </c>
      <c r="I87" t="s">
        <v>458</v>
      </c>
      <c r="J87" t="s">
        <v>284</v>
      </c>
      <c r="K87" t="s">
        <v>285</v>
      </c>
    </row>
    <row r="88" spans="1:11" x14ac:dyDescent="0.25">
      <c r="A88" t="s">
        <v>386</v>
      </c>
      <c r="B88" t="s">
        <v>286</v>
      </c>
      <c r="C88" t="s">
        <v>447</v>
      </c>
      <c r="D88" t="s">
        <v>60</v>
      </c>
      <c r="E88" t="s">
        <v>575</v>
      </c>
      <c r="F88" t="s">
        <v>505</v>
      </c>
      <c r="H88">
        <v>799279</v>
      </c>
      <c r="I88" t="s">
        <v>456</v>
      </c>
      <c r="J88" t="s">
        <v>287</v>
      </c>
      <c r="K88" t="s">
        <v>287</v>
      </c>
    </row>
    <row r="89" spans="1:11" x14ac:dyDescent="0.25">
      <c r="A89" t="s">
        <v>387</v>
      </c>
      <c r="B89" t="s">
        <v>288</v>
      </c>
      <c r="C89" t="s">
        <v>448</v>
      </c>
      <c r="D89" t="s">
        <v>91</v>
      </c>
      <c r="E89" t="s">
        <v>587</v>
      </c>
      <c r="F89" t="s">
        <v>475</v>
      </c>
      <c r="G89" t="s">
        <v>76</v>
      </c>
      <c r="H89">
        <v>700098</v>
      </c>
      <c r="I89" t="s">
        <v>452</v>
      </c>
      <c r="J89" t="s">
        <v>289</v>
      </c>
    </row>
    <row r="90" spans="1:11" x14ac:dyDescent="0.25">
      <c r="A90" t="s">
        <v>1</v>
      </c>
      <c r="B90" t="s">
        <v>290</v>
      </c>
      <c r="C90" t="s">
        <v>641</v>
      </c>
      <c r="D90" t="s">
        <v>34</v>
      </c>
      <c r="E90" t="s">
        <v>583</v>
      </c>
      <c r="F90" t="s">
        <v>508</v>
      </c>
      <c r="G90" t="s">
        <v>157</v>
      </c>
      <c r="H90">
        <v>282001</v>
      </c>
      <c r="I90" t="s">
        <v>469</v>
      </c>
      <c r="J90" t="s">
        <v>291</v>
      </c>
      <c r="K90" t="s">
        <v>292</v>
      </c>
    </row>
    <row r="91" spans="1:11" x14ac:dyDescent="0.25">
      <c r="A91" t="s">
        <v>0</v>
      </c>
      <c r="B91" t="s">
        <v>293</v>
      </c>
      <c r="C91" t="s">
        <v>642</v>
      </c>
      <c r="D91" t="s">
        <v>294</v>
      </c>
      <c r="E91" t="s">
        <v>574</v>
      </c>
      <c r="F91" t="s">
        <v>504</v>
      </c>
      <c r="H91">
        <v>799010</v>
      </c>
      <c r="I91" t="s">
        <v>456</v>
      </c>
      <c r="J91" t="s">
        <v>295</v>
      </c>
      <c r="K91" t="s">
        <v>295</v>
      </c>
    </row>
    <row r="92" spans="1:11" x14ac:dyDescent="0.25">
      <c r="A92" t="s">
        <v>388</v>
      </c>
      <c r="B92" t="s">
        <v>296</v>
      </c>
      <c r="C92" t="s">
        <v>643</v>
      </c>
      <c r="D92" t="s">
        <v>34</v>
      </c>
      <c r="E92" t="s">
        <v>559</v>
      </c>
      <c r="F92" t="s">
        <v>496</v>
      </c>
      <c r="H92">
        <v>769015</v>
      </c>
      <c r="I92" t="s">
        <v>464</v>
      </c>
      <c r="J92" t="s">
        <v>297</v>
      </c>
      <c r="K92" t="s">
        <v>297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4F4B7-5699-40B0-B32D-292F3B93A23B}">
  <sheetPr codeName="Sheet4"/>
  <dimension ref="A1:I831"/>
  <sheetViews>
    <sheetView workbookViewId="0">
      <selection activeCell="H10" sqref="H10"/>
    </sheetView>
  </sheetViews>
  <sheetFormatPr defaultRowHeight="15" x14ac:dyDescent="0.25"/>
  <cols>
    <col min="1" max="1" width="10.28515625" bestFit="1" customWidth="1"/>
    <col min="2" max="2" width="13.7109375" bestFit="1" customWidth="1"/>
    <col min="3" max="3" width="12.5703125" bestFit="1" customWidth="1"/>
    <col min="4" max="4" width="15.7109375" bestFit="1" customWidth="1"/>
    <col min="5" max="5" width="14.7109375" bestFit="1" customWidth="1"/>
    <col min="6" max="6" width="10" bestFit="1" customWidth="1"/>
    <col min="7" max="7" width="15.7109375" bestFit="1" customWidth="1"/>
    <col min="8" max="8" width="23.42578125" bestFit="1" customWidth="1"/>
    <col min="9" max="9" width="12.5703125" bestFit="1" customWidth="1"/>
  </cols>
  <sheetData>
    <row r="1" spans="1:9" x14ac:dyDescent="0.25">
      <c r="A1" s="21" t="s">
        <v>311</v>
      </c>
      <c r="B1" s="22" t="s">
        <v>312</v>
      </c>
      <c r="C1" s="22" t="s">
        <v>313</v>
      </c>
      <c r="D1" s="22" t="s">
        <v>314</v>
      </c>
      <c r="E1" s="22" t="s">
        <v>308</v>
      </c>
      <c r="F1" s="22" t="s">
        <v>309</v>
      </c>
      <c r="G1" s="22" t="s">
        <v>315</v>
      </c>
      <c r="H1" s="22" t="s">
        <v>310</v>
      </c>
      <c r="I1" s="23" t="s">
        <v>648</v>
      </c>
    </row>
    <row r="2" spans="1:9" x14ac:dyDescent="0.25">
      <c r="A2" s="24">
        <v>10643</v>
      </c>
      <c r="B2" s="25" t="s">
        <v>29</v>
      </c>
      <c r="C2" s="26">
        <v>42972</v>
      </c>
      <c r="D2" s="26">
        <v>43000</v>
      </c>
      <c r="E2" s="26">
        <v>42980</v>
      </c>
      <c r="F2" s="25" t="s">
        <v>645</v>
      </c>
      <c r="G2" s="25">
        <v>147.30000000000001</v>
      </c>
      <c r="H2" s="25" t="s">
        <v>316</v>
      </c>
      <c r="I2" s="27" t="str">
        <f>TEXT(C2,"mmm")</f>
        <v>Aug</v>
      </c>
    </row>
    <row r="3" spans="1:9" x14ac:dyDescent="0.25">
      <c r="A3" s="28">
        <v>10692</v>
      </c>
      <c r="B3" s="29" t="s">
        <v>29</v>
      </c>
      <c r="C3" s="30">
        <v>43011</v>
      </c>
      <c r="D3" s="30">
        <v>43039</v>
      </c>
      <c r="E3" s="30">
        <v>43021</v>
      </c>
      <c r="F3" s="29" t="s">
        <v>646</v>
      </c>
      <c r="G3" s="29">
        <v>305.10000000000002</v>
      </c>
      <c r="H3" s="29" t="s">
        <v>316</v>
      </c>
      <c r="I3" s="31" t="str">
        <f t="shared" ref="I3:I66" si="0">TEXT(C3,"mmm")</f>
        <v>Oct</v>
      </c>
    </row>
    <row r="4" spans="1:9" x14ac:dyDescent="0.25">
      <c r="A4" s="24">
        <v>10702</v>
      </c>
      <c r="B4" s="25" t="s">
        <v>29</v>
      </c>
      <c r="C4" s="26">
        <v>43021</v>
      </c>
      <c r="D4" s="26">
        <v>43063</v>
      </c>
      <c r="E4" s="26">
        <v>43029</v>
      </c>
      <c r="F4" s="25" t="s">
        <v>645</v>
      </c>
      <c r="G4" s="25">
        <v>119.7</v>
      </c>
      <c r="H4" s="25" t="s">
        <v>316</v>
      </c>
      <c r="I4" s="27" t="str">
        <f t="shared" si="0"/>
        <v>Oct</v>
      </c>
    </row>
    <row r="5" spans="1:9" x14ac:dyDescent="0.25">
      <c r="A5" s="28">
        <v>10835</v>
      </c>
      <c r="B5" s="29" t="s">
        <v>29</v>
      </c>
      <c r="C5" s="30">
        <v>43115</v>
      </c>
      <c r="D5" s="30">
        <v>43143</v>
      </c>
      <c r="E5" s="30">
        <v>43121</v>
      </c>
      <c r="F5" s="29" t="s">
        <v>647</v>
      </c>
      <c r="G5" s="29">
        <v>347.65</v>
      </c>
      <c r="H5" s="29" t="s">
        <v>316</v>
      </c>
      <c r="I5" s="31" t="str">
        <f t="shared" si="0"/>
        <v>Jan</v>
      </c>
    </row>
    <row r="6" spans="1:9" x14ac:dyDescent="0.25">
      <c r="A6" s="24">
        <v>10952</v>
      </c>
      <c r="B6" s="25" t="s">
        <v>29</v>
      </c>
      <c r="C6" s="26">
        <v>43175</v>
      </c>
      <c r="D6" s="26">
        <v>43217</v>
      </c>
      <c r="E6" s="26">
        <v>43183</v>
      </c>
      <c r="F6" s="25" t="s">
        <v>645</v>
      </c>
      <c r="G6" s="25">
        <v>202.10000000000002</v>
      </c>
      <c r="H6" s="25" t="s">
        <v>316</v>
      </c>
      <c r="I6" s="27" t="str">
        <f t="shared" si="0"/>
        <v>Mar</v>
      </c>
    </row>
    <row r="7" spans="1:9" x14ac:dyDescent="0.25">
      <c r="A7" s="28">
        <v>11011</v>
      </c>
      <c r="B7" s="29" t="s">
        <v>29</v>
      </c>
      <c r="C7" s="30">
        <v>43199</v>
      </c>
      <c r="D7" s="30">
        <v>43227</v>
      </c>
      <c r="E7" s="30">
        <v>43203</v>
      </c>
      <c r="F7" s="29" t="s">
        <v>645</v>
      </c>
      <c r="G7" s="29">
        <v>6.05</v>
      </c>
      <c r="H7" s="29" t="s">
        <v>316</v>
      </c>
      <c r="I7" s="31" t="str">
        <f t="shared" si="0"/>
        <v>Apr</v>
      </c>
    </row>
    <row r="8" spans="1:9" x14ac:dyDescent="0.25">
      <c r="A8" s="24">
        <v>10308</v>
      </c>
      <c r="B8" s="25" t="s">
        <v>33</v>
      </c>
      <c r="C8" s="26">
        <v>42631</v>
      </c>
      <c r="D8" s="26">
        <v>42659</v>
      </c>
      <c r="E8" s="26">
        <v>42637</v>
      </c>
      <c r="F8" s="25" t="s">
        <v>647</v>
      </c>
      <c r="G8" s="25">
        <v>8.0500000000000007</v>
      </c>
      <c r="H8" s="25" t="s">
        <v>317</v>
      </c>
      <c r="I8" s="27" t="str">
        <f t="shared" si="0"/>
        <v>Sep</v>
      </c>
    </row>
    <row r="9" spans="1:9" x14ac:dyDescent="0.25">
      <c r="A9" s="28">
        <v>10625</v>
      </c>
      <c r="B9" s="29" t="s">
        <v>33</v>
      </c>
      <c r="C9" s="30">
        <v>42955</v>
      </c>
      <c r="D9" s="30">
        <v>42983</v>
      </c>
      <c r="E9" s="30">
        <v>42961</v>
      </c>
      <c r="F9" s="29" t="s">
        <v>645</v>
      </c>
      <c r="G9" s="29">
        <v>219.5</v>
      </c>
      <c r="H9" s="29" t="s">
        <v>317</v>
      </c>
      <c r="I9" s="31" t="str">
        <f t="shared" si="0"/>
        <v>Aug</v>
      </c>
    </row>
    <row r="10" spans="1:9" x14ac:dyDescent="0.25">
      <c r="A10" s="24">
        <v>10759</v>
      </c>
      <c r="B10" s="25" t="s">
        <v>33</v>
      </c>
      <c r="C10" s="26">
        <v>43067</v>
      </c>
      <c r="D10" s="26">
        <v>43095</v>
      </c>
      <c r="E10" s="26">
        <v>43081</v>
      </c>
      <c r="F10" s="25" t="s">
        <v>647</v>
      </c>
      <c r="G10" s="25">
        <v>59.95</v>
      </c>
      <c r="H10" s="25" t="s">
        <v>317</v>
      </c>
      <c r="I10" s="27" t="str">
        <f t="shared" si="0"/>
        <v>Nov</v>
      </c>
    </row>
    <row r="11" spans="1:9" x14ac:dyDescent="0.25">
      <c r="A11" s="28">
        <v>10926</v>
      </c>
      <c r="B11" s="29" t="s">
        <v>33</v>
      </c>
      <c r="C11" s="30">
        <v>43163</v>
      </c>
      <c r="D11" s="30">
        <v>43191</v>
      </c>
      <c r="E11" s="30">
        <v>43170</v>
      </c>
      <c r="F11" s="29" t="s">
        <v>647</v>
      </c>
      <c r="G11" s="29">
        <v>199.60000000000002</v>
      </c>
      <c r="H11" s="29" t="s">
        <v>317</v>
      </c>
      <c r="I11" s="31" t="str">
        <f t="shared" si="0"/>
        <v>Mar</v>
      </c>
    </row>
    <row r="12" spans="1:9" x14ac:dyDescent="0.25">
      <c r="A12" s="24">
        <v>10365</v>
      </c>
      <c r="B12" s="25" t="s">
        <v>37</v>
      </c>
      <c r="C12" s="26">
        <v>42701</v>
      </c>
      <c r="D12" s="26">
        <v>42729</v>
      </c>
      <c r="E12" s="26">
        <v>42706</v>
      </c>
      <c r="F12" s="25" t="s">
        <v>646</v>
      </c>
      <c r="G12" s="25">
        <v>110</v>
      </c>
      <c r="H12" s="25" t="s">
        <v>318</v>
      </c>
      <c r="I12" s="27" t="str">
        <f t="shared" si="0"/>
        <v>Nov</v>
      </c>
    </row>
    <row r="13" spans="1:9" x14ac:dyDescent="0.25">
      <c r="A13" s="28">
        <v>10507</v>
      </c>
      <c r="B13" s="29" t="s">
        <v>37</v>
      </c>
      <c r="C13" s="30">
        <v>42840</v>
      </c>
      <c r="D13" s="30">
        <v>42868</v>
      </c>
      <c r="E13" s="30">
        <v>42847</v>
      </c>
      <c r="F13" s="29" t="s">
        <v>645</v>
      </c>
      <c r="G13" s="29">
        <v>237.25</v>
      </c>
      <c r="H13" s="29" t="s">
        <v>318</v>
      </c>
      <c r="I13" s="31" t="str">
        <f t="shared" si="0"/>
        <v>Apr</v>
      </c>
    </row>
    <row r="14" spans="1:9" x14ac:dyDescent="0.25">
      <c r="A14" s="24">
        <v>10535</v>
      </c>
      <c r="B14" s="25" t="s">
        <v>37</v>
      </c>
      <c r="C14" s="26">
        <v>42868</v>
      </c>
      <c r="D14" s="26">
        <v>42896</v>
      </c>
      <c r="E14" s="26">
        <v>42876</v>
      </c>
      <c r="F14" s="25" t="s">
        <v>645</v>
      </c>
      <c r="G14" s="25">
        <v>78.2</v>
      </c>
      <c r="H14" s="25" t="s">
        <v>318</v>
      </c>
      <c r="I14" s="27" t="str">
        <f t="shared" si="0"/>
        <v>May</v>
      </c>
    </row>
    <row r="15" spans="1:9" x14ac:dyDescent="0.25">
      <c r="A15" s="28">
        <v>10573</v>
      </c>
      <c r="B15" s="29" t="s">
        <v>37</v>
      </c>
      <c r="C15" s="30">
        <v>42905</v>
      </c>
      <c r="D15" s="30">
        <v>42933</v>
      </c>
      <c r="E15" s="30">
        <v>42906</v>
      </c>
      <c r="F15" s="29" t="s">
        <v>647</v>
      </c>
      <c r="G15" s="29">
        <v>424.20000000000005</v>
      </c>
      <c r="H15" s="29" t="s">
        <v>318</v>
      </c>
      <c r="I15" s="31" t="str">
        <f t="shared" si="0"/>
        <v>Jun</v>
      </c>
    </row>
    <row r="16" spans="1:9" x14ac:dyDescent="0.25">
      <c r="A16" s="24">
        <v>10677</v>
      </c>
      <c r="B16" s="25" t="s">
        <v>37</v>
      </c>
      <c r="C16" s="26">
        <v>43000</v>
      </c>
      <c r="D16" s="26">
        <v>43028</v>
      </c>
      <c r="E16" s="26">
        <v>43004</v>
      </c>
      <c r="F16" s="25" t="s">
        <v>647</v>
      </c>
      <c r="G16" s="25">
        <v>20.150000000000002</v>
      </c>
      <c r="H16" s="25" t="s">
        <v>318</v>
      </c>
      <c r="I16" s="27" t="str">
        <f t="shared" si="0"/>
        <v>Sep</v>
      </c>
    </row>
    <row r="17" spans="1:9" x14ac:dyDescent="0.25">
      <c r="A17" s="28">
        <v>10682</v>
      </c>
      <c r="B17" s="29" t="s">
        <v>37</v>
      </c>
      <c r="C17" s="30">
        <v>43003</v>
      </c>
      <c r="D17" s="30">
        <v>43031</v>
      </c>
      <c r="E17" s="30">
        <v>43009</v>
      </c>
      <c r="F17" s="29" t="s">
        <v>646</v>
      </c>
      <c r="G17" s="29">
        <v>180.65</v>
      </c>
      <c r="H17" s="29" t="s">
        <v>318</v>
      </c>
      <c r="I17" s="31" t="str">
        <f t="shared" si="0"/>
        <v>Sep</v>
      </c>
    </row>
    <row r="18" spans="1:9" x14ac:dyDescent="0.25">
      <c r="A18" s="24">
        <v>10856</v>
      </c>
      <c r="B18" s="25" t="s">
        <v>37</v>
      </c>
      <c r="C18" s="26">
        <v>43128</v>
      </c>
      <c r="D18" s="26">
        <v>43156</v>
      </c>
      <c r="E18" s="26">
        <v>43141</v>
      </c>
      <c r="F18" s="25" t="s">
        <v>646</v>
      </c>
      <c r="G18" s="25">
        <v>292.14999999999998</v>
      </c>
      <c r="H18" s="25" t="s">
        <v>318</v>
      </c>
      <c r="I18" s="27" t="str">
        <f t="shared" si="0"/>
        <v>Jan</v>
      </c>
    </row>
    <row r="19" spans="1:9" x14ac:dyDescent="0.25">
      <c r="A19" s="28">
        <v>10355</v>
      </c>
      <c r="B19" s="29" t="s">
        <v>39</v>
      </c>
      <c r="C19" s="30">
        <v>42689</v>
      </c>
      <c r="D19" s="30">
        <v>42717</v>
      </c>
      <c r="E19" s="30">
        <v>42694</v>
      </c>
      <c r="F19" s="29" t="s">
        <v>645</v>
      </c>
      <c r="G19" s="29">
        <v>209.75</v>
      </c>
      <c r="H19" s="29" t="s">
        <v>319</v>
      </c>
      <c r="I19" s="31" t="str">
        <f t="shared" si="0"/>
        <v>Nov</v>
      </c>
    </row>
    <row r="20" spans="1:9" x14ac:dyDescent="0.25">
      <c r="A20" s="24">
        <v>10383</v>
      </c>
      <c r="B20" s="25" t="s">
        <v>39</v>
      </c>
      <c r="C20" s="26">
        <v>42720</v>
      </c>
      <c r="D20" s="26">
        <v>42748</v>
      </c>
      <c r="E20" s="26">
        <v>42722</v>
      </c>
      <c r="F20" s="25" t="s">
        <v>647</v>
      </c>
      <c r="G20" s="25">
        <v>171.20000000000002</v>
      </c>
      <c r="H20" s="25" t="s">
        <v>319</v>
      </c>
      <c r="I20" s="27" t="str">
        <f t="shared" si="0"/>
        <v>Dec</v>
      </c>
    </row>
    <row r="21" spans="1:9" x14ac:dyDescent="0.25">
      <c r="A21" s="28">
        <v>10453</v>
      </c>
      <c r="B21" s="29" t="s">
        <v>39</v>
      </c>
      <c r="C21" s="30">
        <v>42787</v>
      </c>
      <c r="D21" s="30">
        <v>42815</v>
      </c>
      <c r="E21" s="30">
        <v>42792</v>
      </c>
      <c r="F21" s="29" t="s">
        <v>646</v>
      </c>
      <c r="G21" s="29">
        <v>126.8</v>
      </c>
      <c r="H21" s="29" t="s">
        <v>319</v>
      </c>
      <c r="I21" s="31" t="str">
        <f t="shared" si="0"/>
        <v>Feb</v>
      </c>
    </row>
    <row r="22" spans="1:9" x14ac:dyDescent="0.25">
      <c r="A22" s="24">
        <v>10558</v>
      </c>
      <c r="B22" s="25" t="s">
        <v>39</v>
      </c>
      <c r="C22" s="26">
        <v>42890</v>
      </c>
      <c r="D22" s="26">
        <v>42918</v>
      </c>
      <c r="E22" s="26">
        <v>42896</v>
      </c>
      <c r="F22" s="25" t="s">
        <v>646</v>
      </c>
      <c r="G22" s="25">
        <v>364.85</v>
      </c>
      <c r="H22" s="25" t="s">
        <v>319</v>
      </c>
      <c r="I22" s="27" t="str">
        <f t="shared" si="0"/>
        <v>Jun</v>
      </c>
    </row>
    <row r="23" spans="1:9" x14ac:dyDescent="0.25">
      <c r="A23" s="28">
        <v>10707</v>
      </c>
      <c r="B23" s="29" t="s">
        <v>39</v>
      </c>
      <c r="C23" s="30">
        <v>43024</v>
      </c>
      <c r="D23" s="30">
        <v>43038</v>
      </c>
      <c r="E23" s="30">
        <v>43031</v>
      </c>
      <c r="F23" s="29" t="s">
        <v>647</v>
      </c>
      <c r="G23" s="29">
        <v>108.69999999999999</v>
      </c>
      <c r="H23" s="29" t="s">
        <v>319</v>
      </c>
      <c r="I23" s="31" t="str">
        <f t="shared" si="0"/>
        <v>Oct</v>
      </c>
    </row>
    <row r="24" spans="1:9" x14ac:dyDescent="0.25">
      <c r="A24" s="24">
        <v>10741</v>
      </c>
      <c r="B24" s="25" t="s">
        <v>39</v>
      </c>
      <c r="C24" s="26">
        <v>43053</v>
      </c>
      <c r="D24" s="26">
        <v>43067</v>
      </c>
      <c r="E24" s="26">
        <v>43057</v>
      </c>
      <c r="F24" s="25" t="s">
        <v>647</v>
      </c>
      <c r="G24" s="25">
        <v>54.800000000000004</v>
      </c>
      <c r="H24" s="25" t="s">
        <v>319</v>
      </c>
      <c r="I24" s="27" t="str">
        <f t="shared" si="0"/>
        <v>Nov</v>
      </c>
    </row>
    <row r="25" spans="1:9" x14ac:dyDescent="0.25">
      <c r="A25" s="28">
        <v>10743</v>
      </c>
      <c r="B25" s="29" t="s">
        <v>39</v>
      </c>
      <c r="C25" s="30">
        <v>43056</v>
      </c>
      <c r="D25" s="30">
        <v>43084</v>
      </c>
      <c r="E25" s="30">
        <v>43060</v>
      </c>
      <c r="F25" s="29" t="s">
        <v>646</v>
      </c>
      <c r="G25" s="29">
        <v>118.6</v>
      </c>
      <c r="H25" s="29" t="s">
        <v>319</v>
      </c>
      <c r="I25" s="31" t="str">
        <f t="shared" si="0"/>
        <v>Nov</v>
      </c>
    </row>
    <row r="26" spans="1:9" x14ac:dyDescent="0.25">
      <c r="A26" s="24">
        <v>10768</v>
      </c>
      <c r="B26" s="25" t="s">
        <v>39</v>
      </c>
      <c r="C26" s="26">
        <v>43077</v>
      </c>
      <c r="D26" s="26">
        <v>43105</v>
      </c>
      <c r="E26" s="26">
        <v>43084</v>
      </c>
      <c r="F26" s="25" t="s">
        <v>646</v>
      </c>
      <c r="G26" s="25">
        <v>731.59999999999991</v>
      </c>
      <c r="H26" s="25" t="s">
        <v>319</v>
      </c>
      <c r="I26" s="27" t="str">
        <f t="shared" si="0"/>
        <v>Dec</v>
      </c>
    </row>
    <row r="27" spans="1:9" x14ac:dyDescent="0.25">
      <c r="A27" s="28">
        <v>10793</v>
      </c>
      <c r="B27" s="29" t="s">
        <v>39</v>
      </c>
      <c r="C27" s="30">
        <v>43093</v>
      </c>
      <c r="D27" s="30">
        <v>43121</v>
      </c>
      <c r="E27" s="30">
        <v>43108</v>
      </c>
      <c r="F27" s="29" t="s">
        <v>647</v>
      </c>
      <c r="G27" s="29">
        <v>22.599999999999998</v>
      </c>
      <c r="H27" s="29" t="s">
        <v>319</v>
      </c>
      <c r="I27" s="31" t="str">
        <f t="shared" si="0"/>
        <v>Dec</v>
      </c>
    </row>
    <row r="28" spans="1:9" x14ac:dyDescent="0.25">
      <c r="A28" s="24">
        <v>10864</v>
      </c>
      <c r="B28" s="25" t="s">
        <v>39</v>
      </c>
      <c r="C28" s="26">
        <v>43133</v>
      </c>
      <c r="D28" s="26">
        <v>43161</v>
      </c>
      <c r="E28" s="26">
        <v>43140</v>
      </c>
      <c r="F28" s="25" t="s">
        <v>646</v>
      </c>
      <c r="G28" s="25">
        <v>15.2</v>
      </c>
      <c r="H28" s="25" t="s">
        <v>319</v>
      </c>
      <c r="I28" s="27" t="str">
        <f t="shared" si="0"/>
        <v>Feb</v>
      </c>
    </row>
    <row r="29" spans="1:9" x14ac:dyDescent="0.25">
      <c r="A29" s="28">
        <v>10920</v>
      </c>
      <c r="B29" s="29" t="s">
        <v>39</v>
      </c>
      <c r="C29" s="30">
        <v>43162</v>
      </c>
      <c r="D29" s="30">
        <v>43190</v>
      </c>
      <c r="E29" s="30">
        <v>43168</v>
      </c>
      <c r="F29" s="29" t="s">
        <v>646</v>
      </c>
      <c r="G29" s="29">
        <v>148.05000000000001</v>
      </c>
      <c r="H29" s="29" t="s">
        <v>319</v>
      </c>
      <c r="I29" s="31" t="str">
        <f t="shared" si="0"/>
        <v>Mar</v>
      </c>
    </row>
    <row r="30" spans="1:9" x14ac:dyDescent="0.25">
      <c r="A30" s="24">
        <v>10953</v>
      </c>
      <c r="B30" s="25" t="s">
        <v>39</v>
      </c>
      <c r="C30" s="26">
        <v>43175</v>
      </c>
      <c r="D30" s="26">
        <v>43189</v>
      </c>
      <c r="E30" s="26">
        <v>43184</v>
      </c>
      <c r="F30" s="25" t="s">
        <v>646</v>
      </c>
      <c r="G30" s="25">
        <v>118.6</v>
      </c>
      <c r="H30" s="25" t="s">
        <v>319</v>
      </c>
      <c r="I30" s="27" t="str">
        <f t="shared" si="0"/>
        <v>Mar</v>
      </c>
    </row>
    <row r="31" spans="1:9" x14ac:dyDescent="0.25">
      <c r="A31" s="28">
        <v>11016</v>
      </c>
      <c r="B31" s="29" t="s">
        <v>39</v>
      </c>
      <c r="C31" s="30">
        <v>43200</v>
      </c>
      <c r="D31" s="30">
        <v>43228</v>
      </c>
      <c r="E31" s="30">
        <v>43203</v>
      </c>
      <c r="F31" s="29" t="s">
        <v>646</v>
      </c>
      <c r="G31" s="29">
        <v>169</v>
      </c>
      <c r="H31" s="29" t="s">
        <v>319</v>
      </c>
      <c r="I31" s="31" t="str">
        <f t="shared" si="0"/>
        <v>Apr</v>
      </c>
    </row>
    <row r="32" spans="1:9" x14ac:dyDescent="0.25">
      <c r="A32" s="24">
        <v>10278</v>
      </c>
      <c r="B32" s="25" t="s">
        <v>42</v>
      </c>
      <c r="C32" s="26">
        <v>42594</v>
      </c>
      <c r="D32" s="26">
        <v>42622</v>
      </c>
      <c r="E32" s="26">
        <v>42598</v>
      </c>
      <c r="F32" s="25" t="s">
        <v>646</v>
      </c>
      <c r="G32" s="25">
        <v>463.45</v>
      </c>
      <c r="H32" s="25" t="s">
        <v>320</v>
      </c>
      <c r="I32" s="27" t="str">
        <f t="shared" si="0"/>
        <v>Aug</v>
      </c>
    </row>
    <row r="33" spans="1:9" x14ac:dyDescent="0.25">
      <c r="A33" s="28">
        <v>10280</v>
      </c>
      <c r="B33" s="29" t="s">
        <v>42</v>
      </c>
      <c r="C33" s="30">
        <v>42596</v>
      </c>
      <c r="D33" s="30">
        <v>42624</v>
      </c>
      <c r="E33" s="30">
        <v>42625</v>
      </c>
      <c r="F33" s="29" t="s">
        <v>645</v>
      </c>
      <c r="G33" s="29">
        <v>44.900000000000006</v>
      </c>
      <c r="H33" s="29" t="s">
        <v>320</v>
      </c>
      <c r="I33" s="31" t="str">
        <f t="shared" si="0"/>
        <v>Aug</v>
      </c>
    </row>
    <row r="34" spans="1:9" x14ac:dyDescent="0.25">
      <c r="A34" s="24">
        <v>10384</v>
      </c>
      <c r="B34" s="25" t="s">
        <v>42</v>
      </c>
      <c r="C34" s="26">
        <v>42720</v>
      </c>
      <c r="D34" s="26">
        <v>42748</v>
      </c>
      <c r="E34" s="26">
        <v>42724</v>
      </c>
      <c r="F34" s="25" t="s">
        <v>647</v>
      </c>
      <c r="G34" s="25">
        <v>843.19999999999993</v>
      </c>
      <c r="H34" s="25" t="s">
        <v>320</v>
      </c>
      <c r="I34" s="27" t="str">
        <f t="shared" si="0"/>
        <v>Dec</v>
      </c>
    </row>
    <row r="35" spans="1:9" x14ac:dyDescent="0.25">
      <c r="A35" s="28">
        <v>10444</v>
      </c>
      <c r="B35" s="29" t="s">
        <v>42</v>
      </c>
      <c r="C35" s="30">
        <v>42778</v>
      </c>
      <c r="D35" s="30">
        <v>42806</v>
      </c>
      <c r="E35" s="30">
        <v>42787</v>
      </c>
      <c r="F35" s="29" t="s">
        <v>647</v>
      </c>
      <c r="G35" s="29">
        <v>17.5</v>
      </c>
      <c r="H35" s="29" t="s">
        <v>320</v>
      </c>
      <c r="I35" s="31" t="str">
        <f t="shared" si="0"/>
        <v>Feb</v>
      </c>
    </row>
    <row r="36" spans="1:9" x14ac:dyDescent="0.25">
      <c r="A36" s="24">
        <v>10445</v>
      </c>
      <c r="B36" s="25" t="s">
        <v>42</v>
      </c>
      <c r="C36" s="26">
        <v>42779</v>
      </c>
      <c r="D36" s="26">
        <v>42807</v>
      </c>
      <c r="E36" s="26">
        <v>42786</v>
      </c>
      <c r="F36" s="25" t="s">
        <v>645</v>
      </c>
      <c r="G36" s="25">
        <v>46.5</v>
      </c>
      <c r="H36" s="25" t="s">
        <v>320</v>
      </c>
      <c r="I36" s="27" t="str">
        <f t="shared" si="0"/>
        <v>Feb</v>
      </c>
    </row>
    <row r="37" spans="1:9" x14ac:dyDescent="0.25">
      <c r="A37" s="28">
        <v>10524</v>
      </c>
      <c r="B37" s="29" t="s">
        <v>42</v>
      </c>
      <c r="C37" s="30">
        <v>42856</v>
      </c>
      <c r="D37" s="30">
        <v>42884</v>
      </c>
      <c r="E37" s="30">
        <v>42862</v>
      </c>
      <c r="F37" s="29" t="s">
        <v>646</v>
      </c>
      <c r="G37" s="29">
        <v>1223.95</v>
      </c>
      <c r="H37" s="29" t="s">
        <v>320</v>
      </c>
      <c r="I37" s="31" t="str">
        <f t="shared" si="0"/>
        <v>May</v>
      </c>
    </row>
    <row r="38" spans="1:9" x14ac:dyDescent="0.25">
      <c r="A38" s="24">
        <v>10572</v>
      </c>
      <c r="B38" s="25" t="s">
        <v>42</v>
      </c>
      <c r="C38" s="26">
        <v>42904</v>
      </c>
      <c r="D38" s="26">
        <v>42932</v>
      </c>
      <c r="E38" s="26">
        <v>42911</v>
      </c>
      <c r="F38" s="25" t="s">
        <v>646</v>
      </c>
      <c r="G38" s="25">
        <v>582.15000000000009</v>
      </c>
      <c r="H38" s="25" t="s">
        <v>320</v>
      </c>
      <c r="I38" s="27" t="str">
        <f t="shared" si="0"/>
        <v>Jun</v>
      </c>
    </row>
    <row r="39" spans="1:9" x14ac:dyDescent="0.25">
      <c r="A39" s="28">
        <v>10626</v>
      </c>
      <c r="B39" s="29" t="s">
        <v>42</v>
      </c>
      <c r="C39" s="30">
        <v>42958</v>
      </c>
      <c r="D39" s="30">
        <v>42986</v>
      </c>
      <c r="E39" s="30">
        <v>42967</v>
      </c>
      <c r="F39" s="29" t="s">
        <v>646</v>
      </c>
      <c r="G39" s="29">
        <v>693.45</v>
      </c>
      <c r="H39" s="29" t="s">
        <v>320</v>
      </c>
      <c r="I39" s="31" t="str">
        <f t="shared" si="0"/>
        <v>Aug</v>
      </c>
    </row>
    <row r="40" spans="1:9" x14ac:dyDescent="0.25">
      <c r="A40" s="24">
        <v>10654</v>
      </c>
      <c r="B40" s="25" t="s">
        <v>42</v>
      </c>
      <c r="C40" s="26">
        <v>42980</v>
      </c>
      <c r="D40" s="26">
        <v>43008</v>
      </c>
      <c r="E40" s="26">
        <v>42989</v>
      </c>
      <c r="F40" s="25" t="s">
        <v>645</v>
      </c>
      <c r="G40" s="25">
        <v>276.3</v>
      </c>
      <c r="H40" s="25" t="s">
        <v>320</v>
      </c>
      <c r="I40" s="27" t="str">
        <f t="shared" si="0"/>
        <v>Sep</v>
      </c>
    </row>
    <row r="41" spans="1:9" x14ac:dyDescent="0.25">
      <c r="A41" s="28">
        <v>10672</v>
      </c>
      <c r="B41" s="29" t="s">
        <v>42</v>
      </c>
      <c r="C41" s="30">
        <v>42995</v>
      </c>
      <c r="D41" s="30">
        <v>43009</v>
      </c>
      <c r="E41" s="30">
        <v>43004</v>
      </c>
      <c r="F41" s="29" t="s">
        <v>646</v>
      </c>
      <c r="G41" s="29">
        <v>478.75</v>
      </c>
      <c r="H41" s="29" t="s">
        <v>320</v>
      </c>
      <c r="I41" s="31" t="str">
        <f t="shared" si="0"/>
        <v>Sep</v>
      </c>
    </row>
    <row r="42" spans="1:9" x14ac:dyDescent="0.25">
      <c r="A42" s="24">
        <v>10689</v>
      </c>
      <c r="B42" s="25" t="s">
        <v>42</v>
      </c>
      <c r="C42" s="26">
        <v>43009</v>
      </c>
      <c r="D42" s="26">
        <v>43037</v>
      </c>
      <c r="E42" s="26">
        <v>43015</v>
      </c>
      <c r="F42" s="25" t="s">
        <v>646</v>
      </c>
      <c r="G42" s="25">
        <v>67.099999999999994</v>
      </c>
      <c r="H42" s="25" t="s">
        <v>320</v>
      </c>
      <c r="I42" s="27" t="str">
        <f t="shared" si="0"/>
        <v>Oct</v>
      </c>
    </row>
    <row r="43" spans="1:9" x14ac:dyDescent="0.25">
      <c r="A43" s="28">
        <v>10733</v>
      </c>
      <c r="B43" s="29" t="s">
        <v>42</v>
      </c>
      <c r="C43" s="30">
        <v>43046</v>
      </c>
      <c r="D43" s="30">
        <v>43074</v>
      </c>
      <c r="E43" s="30">
        <v>43049</v>
      </c>
      <c r="F43" s="29" t="s">
        <v>647</v>
      </c>
      <c r="G43" s="29">
        <v>550.54999999999995</v>
      </c>
      <c r="H43" s="29" t="s">
        <v>320</v>
      </c>
      <c r="I43" s="31" t="str">
        <f t="shared" si="0"/>
        <v>Nov</v>
      </c>
    </row>
    <row r="44" spans="1:9" x14ac:dyDescent="0.25">
      <c r="A44" s="24">
        <v>10778</v>
      </c>
      <c r="B44" s="25" t="s">
        <v>42</v>
      </c>
      <c r="C44" s="26">
        <v>43085</v>
      </c>
      <c r="D44" s="26">
        <v>43113</v>
      </c>
      <c r="E44" s="26">
        <v>43093</v>
      </c>
      <c r="F44" s="25" t="s">
        <v>645</v>
      </c>
      <c r="G44" s="25">
        <v>33.950000000000003</v>
      </c>
      <c r="H44" s="25" t="s">
        <v>320</v>
      </c>
      <c r="I44" s="27" t="str">
        <f t="shared" si="0"/>
        <v>Dec</v>
      </c>
    </row>
    <row r="45" spans="1:9" x14ac:dyDescent="0.25">
      <c r="A45" s="28">
        <v>10837</v>
      </c>
      <c r="B45" s="29" t="s">
        <v>42</v>
      </c>
      <c r="C45" s="30">
        <v>43116</v>
      </c>
      <c r="D45" s="30">
        <v>43144</v>
      </c>
      <c r="E45" s="30">
        <v>43123</v>
      </c>
      <c r="F45" s="29" t="s">
        <v>647</v>
      </c>
      <c r="G45" s="29">
        <v>66.599999999999994</v>
      </c>
      <c r="H45" s="29" t="s">
        <v>320</v>
      </c>
      <c r="I45" s="31" t="str">
        <f t="shared" si="0"/>
        <v>Jan</v>
      </c>
    </row>
    <row r="46" spans="1:9" x14ac:dyDescent="0.25">
      <c r="A46" s="24">
        <v>10857</v>
      </c>
      <c r="B46" s="25" t="s">
        <v>42</v>
      </c>
      <c r="C46" s="26">
        <v>43128</v>
      </c>
      <c r="D46" s="26">
        <v>43156</v>
      </c>
      <c r="E46" s="26">
        <v>43137</v>
      </c>
      <c r="F46" s="25" t="s">
        <v>646</v>
      </c>
      <c r="G46" s="25">
        <v>944.25</v>
      </c>
      <c r="H46" s="25" t="s">
        <v>320</v>
      </c>
      <c r="I46" s="27" t="str">
        <f t="shared" si="0"/>
        <v>Jan</v>
      </c>
    </row>
    <row r="47" spans="1:9" x14ac:dyDescent="0.25">
      <c r="A47" s="28">
        <v>10866</v>
      </c>
      <c r="B47" s="29" t="s">
        <v>42</v>
      </c>
      <c r="C47" s="30">
        <v>43134</v>
      </c>
      <c r="D47" s="30">
        <v>43162</v>
      </c>
      <c r="E47" s="30">
        <v>43143</v>
      </c>
      <c r="F47" s="29" t="s">
        <v>645</v>
      </c>
      <c r="G47" s="29">
        <v>545.54999999999995</v>
      </c>
      <c r="H47" s="29" t="s">
        <v>320</v>
      </c>
      <c r="I47" s="31" t="str">
        <f t="shared" si="0"/>
        <v>Feb</v>
      </c>
    </row>
    <row r="48" spans="1:9" x14ac:dyDescent="0.25">
      <c r="A48" s="24">
        <v>10875</v>
      </c>
      <c r="B48" s="25" t="s">
        <v>42</v>
      </c>
      <c r="C48" s="26">
        <v>43137</v>
      </c>
      <c r="D48" s="26">
        <v>43165</v>
      </c>
      <c r="E48" s="26">
        <v>43162</v>
      </c>
      <c r="F48" s="25" t="s">
        <v>646</v>
      </c>
      <c r="G48" s="25">
        <v>161.85</v>
      </c>
      <c r="H48" s="25" t="s">
        <v>320</v>
      </c>
      <c r="I48" s="27" t="str">
        <f t="shared" si="0"/>
        <v>Feb</v>
      </c>
    </row>
    <row r="49" spans="1:9" x14ac:dyDescent="0.25">
      <c r="A49" s="28">
        <v>10924</v>
      </c>
      <c r="B49" s="29" t="s">
        <v>42</v>
      </c>
      <c r="C49" s="30">
        <v>43163</v>
      </c>
      <c r="D49" s="30">
        <v>43191</v>
      </c>
      <c r="E49" s="30">
        <v>43198</v>
      </c>
      <c r="F49" s="29" t="s">
        <v>646</v>
      </c>
      <c r="G49" s="29">
        <v>757.6</v>
      </c>
      <c r="H49" s="29" t="s">
        <v>320</v>
      </c>
      <c r="I49" s="31" t="str">
        <f t="shared" si="0"/>
        <v>Mar</v>
      </c>
    </row>
    <row r="50" spans="1:9" x14ac:dyDescent="0.25">
      <c r="A50" s="24">
        <v>10501</v>
      </c>
      <c r="B50" s="25" t="s">
        <v>46</v>
      </c>
      <c r="C50" s="26">
        <v>42834</v>
      </c>
      <c r="D50" s="26">
        <v>42862</v>
      </c>
      <c r="E50" s="26">
        <v>42841</v>
      </c>
      <c r="F50" s="25" t="s">
        <v>647</v>
      </c>
      <c r="G50" s="25">
        <v>44.25</v>
      </c>
      <c r="H50" s="25" t="s">
        <v>321</v>
      </c>
      <c r="I50" s="27" t="str">
        <f t="shared" si="0"/>
        <v>Apr</v>
      </c>
    </row>
    <row r="51" spans="1:9" x14ac:dyDescent="0.25">
      <c r="A51" s="28">
        <v>10509</v>
      </c>
      <c r="B51" s="29" t="s">
        <v>46</v>
      </c>
      <c r="C51" s="30">
        <v>42842</v>
      </c>
      <c r="D51" s="30">
        <v>42870</v>
      </c>
      <c r="E51" s="30">
        <v>42854</v>
      </c>
      <c r="F51" s="29" t="s">
        <v>645</v>
      </c>
      <c r="G51" s="29">
        <v>0.75</v>
      </c>
      <c r="H51" s="29" t="s">
        <v>321</v>
      </c>
      <c r="I51" s="31" t="str">
        <f t="shared" si="0"/>
        <v>Apr</v>
      </c>
    </row>
    <row r="52" spans="1:9" x14ac:dyDescent="0.25">
      <c r="A52" s="24">
        <v>10582</v>
      </c>
      <c r="B52" s="25" t="s">
        <v>46</v>
      </c>
      <c r="C52" s="26">
        <v>42913</v>
      </c>
      <c r="D52" s="26">
        <v>42941</v>
      </c>
      <c r="E52" s="26">
        <v>42930</v>
      </c>
      <c r="F52" s="25" t="s">
        <v>646</v>
      </c>
      <c r="G52" s="25">
        <v>138.55000000000001</v>
      </c>
      <c r="H52" s="25" t="s">
        <v>321</v>
      </c>
      <c r="I52" s="27" t="str">
        <f t="shared" si="0"/>
        <v>Jun</v>
      </c>
    </row>
    <row r="53" spans="1:9" x14ac:dyDescent="0.25">
      <c r="A53" s="28">
        <v>10614</v>
      </c>
      <c r="B53" s="29" t="s">
        <v>46</v>
      </c>
      <c r="C53" s="30">
        <v>42945</v>
      </c>
      <c r="D53" s="30">
        <v>42973</v>
      </c>
      <c r="E53" s="30">
        <v>42948</v>
      </c>
      <c r="F53" s="29" t="s">
        <v>647</v>
      </c>
      <c r="G53" s="29">
        <v>9.65</v>
      </c>
      <c r="H53" s="29" t="s">
        <v>321</v>
      </c>
      <c r="I53" s="31" t="str">
        <f t="shared" si="0"/>
        <v>Jul</v>
      </c>
    </row>
    <row r="54" spans="1:9" x14ac:dyDescent="0.25">
      <c r="A54" s="24">
        <v>10853</v>
      </c>
      <c r="B54" s="25" t="s">
        <v>46</v>
      </c>
      <c r="C54" s="26">
        <v>43127</v>
      </c>
      <c r="D54" s="26">
        <v>43155</v>
      </c>
      <c r="E54" s="26">
        <v>43134</v>
      </c>
      <c r="F54" s="25" t="s">
        <v>646</v>
      </c>
      <c r="G54" s="25">
        <v>269.14999999999998</v>
      </c>
      <c r="H54" s="25" t="s">
        <v>321</v>
      </c>
      <c r="I54" s="27" t="str">
        <f t="shared" si="0"/>
        <v>Jan</v>
      </c>
    </row>
    <row r="55" spans="1:9" x14ac:dyDescent="0.25">
      <c r="A55" s="28">
        <v>10956</v>
      </c>
      <c r="B55" s="29" t="s">
        <v>46</v>
      </c>
      <c r="C55" s="30">
        <v>43176</v>
      </c>
      <c r="D55" s="30">
        <v>43218</v>
      </c>
      <c r="E55" s="30">
        <v>43179</v>
      </c>
      <c r="F55" s="29" t="s">
        <v>646</v>
      </c>
      <c r="G55" s="29">
        <v>223.25</v>
      </c>
      <c r="H55" s="29" t="s">
        <v>321</v>
      </c>
      <c r="I55" s="31" t="str">
        <f t="shared" si="0"/>
        <v>Mar</v>
      </c>
    </row>
    <row r="56" spans="1:9" x14ac:dyDescent="0.25">
      <c r="A56" s="24">
        <v>11058</v>
      </c>
      <c r="B56" s="25" t="s">
        <v>46</v>
      </c>
      <c r="C56" s="26">
        <v>43219</v>
      </c>
      <c r="D56" s="26">
        <v>43247</v>
      </c>
      <c r="E56" s="26"/>
      <c r="F56" s="25" t="s">
        <v>647</v>
      </c>
      <c r="G56" s="25">
        <v>155.69999999999999</v>
      </c>
      <c r="H56" s="25" t="s">
        <v>321</v>
      </c>
      <c r="I56" s="27" t="str">
        <f t="shared" si="0"/>
        <v>Apr</v>
      </c>
    </row>
    <row r="57" spans="1:9" x14ac:dyDescent="0.25">
      <c r="A57" s="28">
        <v>10265</v>
      </c>
      <c r="B57" s="29" t="s">
        <v>49</v>
      </c>
      <c r="C57" s="30">
        <v>42576</v>
      </c>
      <c r="D57" s="30">
        <v>42604</v>
      </c>
      <c r="E57" s="30">
        <v>42594</v>
      </c>
      <c r="F57" s="29" t="s">
        <v>645</v>
      </c>
      <c r="G57" s="29">
        <v>276.39999999999998</v>
      </c>
      <c r="H57" s="29" t="s">
        <v>322</v>
      </c>
      <c r="I57" s="31" t="str">
        <f t="shared" si="0"/>
        <v>Jul</v>
      </c>
    </row>
    <row r="58" spans="1:9" x14ac:dyDescent="0.25">
      <c r="A58" s="24">
        <v>10297</v>
      </c>
      <c r="B58" s="25" t="s">
        <v>49</v>
      </c>
      <c r="C58" s="26">
        <v>42617</v>
      </c>
      <c r="D58" s="26">
        <v>42659</v>
      </c>
      <c r="E58" s="26">
        <v>42623</v>
      </c>
      <c r="F58" s="25" t="s">
        <v>646</v>
      </c>
      <c r="G58" s="25">
        <v>28.700000000000003</v>
      </c>
      <c r="H58" s="25" t="s">
        <v>322</v>
      </c>
      <c r="I58" s="27" t="str">
        <f t="shared" si="0"/>
        <v>Sep</v>
      </c>
    </row>
    <row r="59" spans="1:9" x14ac:dyDescent="0.25">
      <c r="A59" s="28">
        <v>10360</v>
      </c>
      <c r="B59" s="29" t="s">
        <v>49</v>
      </c>
      <c r="C59" s="30">
        <v>42696</v>
      </c>
      <c r="D59" s="30">
        <v>42724</v>
      </c>
      <c r="E59" s="30">
        <v>42706</v>
      </c>
      <c r="F59" s="29" t="s">
        <v>647</v>
      </c>
      <c r="G59" s="29">
        <v>658.5</v>
      </c>
      <c r="H59" s="29" t="s">
        <v>322</v>
      </c>
      <c r="I59" s="31" t="str">
        <f t="shared" si="0"/>
        <v>Nov</v>
      </c>
    </row>
    <row r="60" spans="1:9" x14ac:dyDescent="0.25">
      <c r="A60" s="24">
        <v>10436</v>
      </c>
      <c r="B60" s="25" t="s">
        <v>49</v>
      </c>
      <c r="C60" s="26">
        <v>42771</v>
      </c>
      <c r="D60" s="26">
        <v>42799</v>
      </c>
      <c r="E60" s="26">
        <v>42777</v>
      </c>
      <c r="F60" s="25" t="s">
        <v>646</v>
      </c>
      <c r="G60" s="25">
        <v>783.3</v>
      </c>
      <c r="H60" s="25" t="s">
        <v>322</v>
      </c>
      <c r="I60" s="27" t="str">
        <f t="shared" si="0"/>
        <v>Feb</v>
      </c>
    </row>
    <row r="61" spans="1:9" x14ac:dyDescent="0.25">
      <c r="A61" s="28">
        <v>10449</v>
      </c>
      <c r="B61" s="29" t="s">
        <v>49</v>
      </c>
      <c r="C61" s="30">
        <v>42784</v>
      </c>
      <c r="D61" s="30">
        <v>42812</v>
      </c>
      <c r="E61" s="30">
        <v>42793</v>
      </c>
      <c r="F61" s="29" t="s">
        <v>646</v>
      </c>
      <c r="G61" s="29">
        <v>266.5</v>
      </c>
      <c r="H61" s="29" t="s">
        <v>322</v>
      </c>
      <c r="I61" s="31" t="str">
        <f t="shared" si="0"/>
        <v>Feb</v>
      </c>
    </row>
    <row r="62" spans="1:9" x14ac:dyDescent="0.25">
      <c r="A62" s="24">
        <v>10559</v>
      </c>
      <c r="B62" s="25" t="s">
        <v>49</v>
      </c>
      <c r="C62" s="26">
        <v>42891</v>
      </c>
      <c r="D62" s="26">
        <v>42919</v>
      </c>
      <c r="E62" s="26">
        <v>42899</v>
      </c>
      <c r="F62" s="25" t="s">
        <v>645</v>
      </c>
      <c r="G62" s="25">
        <v>40.25</v>
      </c>
      <c r="H62" s="25" t="s">
        <v>322</v>
      </c>
      <c r="I62" s="27" t="str">
        <f t="shared" si="0"/>
        <v>Jun</v>
      </c>
    </row>
    <row r="63" spans="1:9" x14ac:dyDescent="0.25">
      <c r="A63" s="28">
        <v>10566</v>
      </c>
      <c r="B63" s="29" t="s">
        <v>49</v>
      </c>
      <c r="C63" s="30">
        <v>42898</v>
      </c>
      <c r="D63" s="30">
        <v>42926</v>
      </c>
      <c r="E63" s="30">
        <v>42904</v>
      </c>
      <c r="F63" s="29" t="s">
        <v>645</v>
      </c>
      <c r="G63" s="29">
        <v>442</v>
      </c>
      <c r="H63" s="29" t="s">
        <v>322</v>
      </c>
      <c r="I63" s="31" t="str">
        <f t="shared" si="0"/>
        <v>Jun</v>
      </c>
    </row>
    <row r="64" spans="1:9" x14ac:dyDescent="0.25">
      <c r="A64" s="24">
        <v>10584</v>
      </c>
      <c r="B64" s="25" t="s">
        <v>49</v>
      </c>
      <c r="C64" s="26">
        <v>42916</v>
      </c>
      <c r="D64" s="26">
        <v>42944</v>
      </c>
      <c r="E64" s="26">
        <v>42920</v>
      </c>
      <c r="F64" s="25" t="s">
        <v>645</v>
      </c>
      <c r="G64" s="25">
        <v>295.7</v>
      </c>
      <c r="H64" s="25" t="s">
        <v>322</v>
      </c>
      <c r="I64" s="27" t="str">
        <f t="shared" si="0"/>
        <v>Jun</v>
      </c>
    </row>
    <row r="65" spans="1:9" x14ac:dyDescent="0.25">
      <c r="A65" s="28">
        <v>10628</v>
      </c>
      <c r="B65" s="29" t="s">
        <v>49</v>
      </c>
      <c r="C65" s="30">
        <v>42959</v>
      </c>
      <c r="D65" s="30">
        <v>42987</v>
      </c>
      <c r="E65" s="30">
        <v>42967</v>
      </c>
      <c r="F65" s="29" t="s">
        <v>647</v>
      </c>
      <c r="G65" s="29">
        <v>151.80000000000001</v>
      </c>
      <c r="H65" s="29" t="s">
        <v>322</v>
      </c>
      <c r="I65" s="31" t="str">
        <f t="shared" si="0"/>
        <v>Aug</v>
      </c>
    </row>
    <row r="66" spans="1:9" x14ac:dyDescent="0.25">
      <c r="A66" s="24">
        <v>10679</v>
      </c>
      <c r="B66" s="25" t="s">
        <v>49</v>
      </c>
      <c r="C66" s="26">
        <v>43001</v>
      </c>
      <c r="D66" s="26">
        <v>43029</v>
      </c>
      <c r="E66" s="26">
        <v>43008</v>
      </c>
      <c r="F66" s="25" t="s">
        <v>647</v>
      </c>
      <c r="G66" s="25">
        <v>139.70000000000002</v>
      </c>
      <c r="H66" s="25" t="s">
        <v>322</v>
      </c>
      <c r="I66" s="27" t="str">
        <f t="shared" si="0"/>
        <v>Sep</v>
      </c>
    </row>
    <row r="67" spans="1:9" x14ac:dyDescent="0.25">
      <c r="A67" s="28">
        <v>10826</v>
      </c>
      <c r="B67" s="29" t="s">
        <v>49</v>
      </c>
      <c r="C67" s="30">
        <v>43112</v>
      </c>
      <c r="D67" s="30">
        <v>43140</v>
      </c>
      <c r="E67" s="30">
        <v>43137</v>
      </c>
      <c r="F67" s="29" t="s">
        <v>645</v>
      </c>
      <c r="G67" s="29">
        <v>35.450000000000003</v>
      </c>
      <c r="H67" s="29" t="s">
        <v>322</v>
      </c>
      <c r="I67" s="31" t="str">
        <f t="shared" ref="I67:I130" si="1">TEXT(C67,"mmm")</f>
        <v>Jan</v>
      </c>
    </row>
    <row r="68" spans="1:9" x14ac:dyDescent="0.25">
      <c r="A68" s="24">
        <v>10326</v>
      </c>
      <c r="B68" s="25" t="s">
        <v>53</v>
      </c>
      <c r="C68" s="26">
        <v>42653</v>
      </c>
      <c r="D68" s="26">
        <v>42681</v>
      </c>
      <c r="E68" s="26">
        <v>42657</v>
      </c>
      <c r="F68" s="25" t="s">
        <v>646</v>
      </c>
      <c r="G68" s="25">
        <v>389.6</v>
      </c>
      <c r="H68" s="25" t="s">
        <v>323</v>
      </c>
      <c r="I68" s="27" t="str">
        <f t="shared" si="1"/>
        <v>Oct</v>
      </c>
    </row>
    <row r="69" spans="1:9" x14ac:dyDescent="0.25">
      <c r="A69" s="28">
        <v>10801</v>
      </c>
      <c r="B69" s="29" t="s">
        <v>53</v>
      </c>
      <c r="C69" s="30">
        <v>43098</v>
      </c>
      <c r="D69" s="30">
        <v>43126</v>
      </c>
      <c r="E69" s="30">
        <v>43100</v>
      </c>
      <c r="F69" s="29" t="s">
        <v>646</v>
      </c>
      <c r="G69" s="29">
        <v>485.45000000000005</v>
      </c>
      <c r="H69" s="29" t="s">
        <v>323</v>
      </c>
      <c r="I69" s="31" t="str">
        <f t="shared" si="1"/>
        <v>Dec</v>
      </c>
    </row>
    <row r="70" spans="1:9" x14ac:dyDescent="0.25">
      <c r="A70" s="24">
        <v>10970</v>
      </c>
      <c r="B70" s="25" t="s">
        <v>53</v>
      </c>
      <c r="C70" s="26">
        <v>43183</v>
      </c>
      <c r="D70" s="26">
        <v>43197</v>
      </c>
      <c r="E70" s="26">
        <v>43214</v>
      </c>
      <c r="F70" s="25" t="s">
        <v>645</v>
      </c>
      <c r="G70" s="25">
        <v>80.8</v>
      </c>
      <c r="H70" s="25" t="s">
        <v>323</v>
      </c>
      <c r="I70" s="27" t="str">
        <f t="shared" si="1"/>
        <v>Mar</v>
      </c>
    </row>
    <row r="71" spans="1:9" x14ac:dyDescent="0.25">
      <c r="A71" s="28">
        <v>10331</v>
      </c>
      <c r="B71" s="29" t="s">
        <v>56</v>
      </c>
      <c r="C71" s="30">
        <v>42659</v>
      </c>
      <c r="D71" s="30">
        <v>42701</v>
      </c>
      <c r="E71" s="30">
        <v>42664</v>
      </c>
      <c r="F71" s="29" t="s">
        <v>645</v>
      </c>
      <c r="G71" s="29">
        <v>50.949999999999996</v>
      </c>
      <c r="H71" s="29" t="s">
        <v>325</v>
      </c>
      <c r="I71" s="31" t="str">
        <f t="shared" si="1"/>
        <v>Oct</v>
      </c>
    </row>
    <row r="72" spans="1:9" x14ac:dyDescent="0.25">
      <c r="A72" s="24">
        <v>10340</v>
      </c>
      <c r="B72" s="25" t="s">
        <v>56</v>
      </c>
      <c r="C72" s="26">
        <v>42672</v>
      </c>
      <c r="D72" s="26">
        <v>42700</v>
      </c>
      <c r="E72" s="26">
        <v>42682</v>
      </c>
      <c r="F72" s="25" t="s">
        <v>647</v>
      </c>
      <c r="G72" s="25">
        <v>831.55</v>
      </c>
      <c r="H72" s="25" t="s">
        <v>325</v>
      </c>
      <c r="I72" s="27" t="str">
        <f t="shared" si="1"/>
        <v>Oct</v>
      </c>
    </row>
    <row r="73" spans="1:9" x14ac:dyDescent="0.25">
      <c r="A73" s="28">
        <v>10362</v>
      </c>
      <c r="B73" s="29" t="s">
        <v>56</v>
      </c>
      <c r="C73" s="30">
        <v>42699</v>
      </c>
      <c r="D73" s="30">
        <v>42727</v>
      </c>
      <c r="E73" s="30">
        <v>42702</v>
      </c>
      <c r="F73" s="29" t="s">
        <v>645</v>
      </c>
      <c r="G73" s="29">
        <v>480.20000000000005</v>
      </c>
      <c r="H73" s="29" t="s">
        <v>325</v>
      </c>
      <c r="I73" s="31" t="str">
        <f t="shared" si="1"/>
        <v>Nov</v>
      </c>
    </row>
    <row r="74" spans="1:9" x14ac:dyDescent="0.25">
      <c r="A74" s="24">
        <v>10470</v>
      </c>
      <c r="B74" s="25" t="s">
        <v>56</v>
      </c>
      <c r="C74" s="26">
        <v>42805</v>
      </c>
      <c r="D74" s="26">
        <v>42833</v>
      </c>
      <c r="E74" s="26">
        <v>42808</v>
      </c>
      <c r="F74" s="25" t="s">
        <v>646</v>
      </c>
      <c r="G74" s="25">
        <v>322.8</v>
      </c>
      <c r="H74" s="25" t="s">
        <v>325</v>
      </c>
      <c r="I74" s="27" t="str">
        <f t="shared" si="1"/>
        <v>Mar</v>
      </c>
    </row>
    <row r="75" spans="1:9" x14ac:dyDescent="0.25">
      <c r="A75" s="28">
        <v>10511</v>
      </c>
      <c r="B75" s="29" t="s">
        <v>56</v>
      </c>
      <c r="C75" s="30">
        <v>42843</v>
      </c>
      <c r="D75" s="30">
        <v>42871</v>
      </c>
      <c r="E75" s="30">
        <v>42846</v>
      </c>
      <c r="F75" s="29" t="s">
        <v>647</v>
      </c>
      <c r="G75" s="29">
        <v>1753.1999999999998</v>
      </c>
      <c r="H75" s="29" t="s">
        <v>325</v>
      </c>
      <c r="I75" s="31" t="str">
        <f t="shared" si="1"/>
        <v>Apr</v>
      </c>
    </row>
    <row r="76" spans="1:9" x14ac:dyDescent="0.25">
      <c r="A76" s="24">
        <v>10525</v>
      </c>
      <c r="B76" s="25" t="s">
        <v>56</v>
      </c>
      <c r="C76" s="26">
        <v>42857</v>
      </c>
      <c r="D76" s="26">
        <v>42885</v>
      </c>
      <c r="E76" s="26">
        <v>42878</v>
      </c>
      <c r="F76" s="25" t="s">
        <v>646</v>
      </c>
      <c r="G76" s="25">
        <v>55.300000000000004</v>
      </c>
      <c r="H76" s="25" t="s">
        <v>325</v>
      </c>
      <c r="I76" s="27" t="str">
        <f t="shared" si="1"/>
        <v>May</v>
      </c>
    </row>
    <row r="77" spans="1:9" x14ac:dyDescent="0.25">
      <c r="A77" s="28">
        <v>10663</v>
      </c>
      <c r="B77" s="29" t="s">
        <v>56</v>
      </c>
      <c r="C77" s="30">
        <v>42988</v>
      </c>
      <c r="D77" s="30">
        <v>43002</v>
      </c>
      <c r="E77" s="30">
        <v>43011</v>
      </c>
      <c r="F77" s="29" t="s">
        <v>646</v>
      </c>
      <c r="G77" s="29">
        <v>565.75</v>
      </c>
      <c r="H77" s="29" t="s">
        <v>325</v>
      </c>
      <c r="I77" s="31" t="str">
        <f t="shared" si="1"/>
        <v>Sep</v>
      </c>
    </row>
    <row r="78" spans="1:9" x14ac:dyDescent="0.25">
      <c r="A78" s="24">
        <v>10715</v>
      </c>
      <c r="B78" s="25" t="s">
        <v>56</v>
      </c>
      <c r="C78" s="26">
        <v>43031</v>
      </c>
      <c r="D78" s="26">
        <v>43045</v>
      </c>
      <c r="E78" s="26">
        <v>43037</v>
      </c>
      <c r="F78" s="25" t="s">
        <v>645</v>
      </c>
      <c r="G78" s="25">
        <v>316</v>
      </c>
      <c r="H78" s="25" t="s">
        <v>325</v>
      </c>
      <c r="I78" s="27" t="str">
        <f t="shared" si="1"/>
        <v>Oct</v>
      </c>
    </row>
    <row r="79" spans="1:9" x14ac:dyDescent="0.25">
      <c r="A79" s="28">
        <v>10730</v>
      </c>
      <c r="B79" s="29" t="s">
        <v>56</v>
      </c>
      <c r="C79" s="30">
        <v>43044</v>
      </c>
      <c r="D79" s="30">
        <v>43072</v>
      </c>
      <c r="E79" s="30">
        <v>43053</v>
      </c>
      <c r="F79" s="29" t="s">
        <v>645</v>
      </c>
      <c r="G79" s="29">
        <v>100.60000000000001</v>
      </c>
      <c r="H79" s="29" t="s">
        <v>325</v>
      </c>
      <c r="I79" s="31" t="str">
        <f t="shared" si="1"/>
        <v>Nov</v>
      </c>
    </row>
    <row r="80" spans="1:9" x14ac:dyDescent="0.25">
      <c r="A80" s="24">
        <v>10732</v>
      </c>
      <c r="B80" s="25" t="s">
        <v>56</v>
      </c>
      <c r="C80" s="26">
        <v>43045</v>
      </c>
      <c r="D80" s="26">
        <v>43073</v>
      </c>
      <c r="E80" s="26">
        <v>43046</v>
      </c>
      <c r="F80" s="25" t="s">
        <v>645</v>
      </c>
      <c r="G80" s="25">
        <v>84.85</v>
      </c>
      <c r="H80" s="25" t="s">
        <v>325</v>
      </c>
      <c r="I80" s="27" t="str">
        <f t="shared" si="1"/>
        <v>Nov</v>
      </c>
    </row>
    <row r="81" spans="1:9" x14ac:dyDescent="0.25">
      <c r="A81" s="28">
        <v>10755</v>
      </c>
      <c r="B81" s="29" t="s">
        <v>56</v>
      </c>
      <c r="C81" s="30">
        <v>43065</v>
      </c>
      <c r="D81" s="30">
        <v>43093</v>
      </c>
      <c r="E81" s="30">
        <v>43067</v>
      </c>
      <c r="F81" s="29" t="s">
        <v>646</v>
      </c>
      <c r="G81" s="29">
        <v>83.550000000000011</v>
      </c>
      <c r="H81" s="29" t="s">
        <v>325</v>
      </c>
      <c r="I81" s="31" t="str">
        <f t="shared" si="1"/>
        <v>Nov</v>
      </c>
    </row>
    <row r="82" spans="1:9" x14ac:dyDescent="0.25">
      <c r="A82" s="24">
        <v>10827</v>
      </c>
      <c r="B82" s="25" t="s">
        <v>56</v>
      </c>
      <c r="C82" s="26">
        <v>43112</v>
      </c>
      <c r="D82" s="26">
        <v>43126</v>
      </c>
      <c r="E82" s="26">
        <v>43137</v>
      </c>
      <c r="F82" s="25" t="s">
        <v>646</v>
      </c>
      <c r="G82" s="25">
        <v>317.7</v>
      </c>
      <c r="H82" s="25" t="s">
        <v>325</v>
      </c>
      <c r="I82" s="27" t="str">
        <f t="shared" si="1"/>
        <v>Jan</v>
      </c>
    </row>
    <row r="83" spans="1:9" x14ac:dyDescent="0.25">
      <c r="A83" s="28">
        <v>10871</v>
      </c>
      <c r="B83" s="29" t="s">
        <v>56</v>
      </c>
      <c r="C83" s="30">
        <v>43136</v>
      </c>
      <c r="D83" s="30">
        <v>43164</v>
      </c>
      <c r="E83" s="30">
        <v>43141</v>
      </c>
      <c r="F83" s="29" t="s">
        <v>646</v>
      </c>
      <c r="G83" s="29">
        <v>561.35</v>
      </c>
      <c r="H83" s="29" t="s">
        <v>325</v>
      </c>
      <c r="I83" s="31" t="str">
        <f t="shared" si="1"/>
        <v>Feb</v>
      </c>
    </row>
    <row r="84" spans="1:9" x14ac:dyDescent="0.25">
      <c r="A84" s="24">
        <v>10876</v>
      </c>
      <c r="B84" s="25" t="s">
        <v>56</v>
      </c>
      <c r="C84" s="26">
        <v>43140</v>
      </c>
      <c r="D84" s="26">
        <v>43168</v>
      </c>
      <c r="E84" s="26">
        <v>43143</v>
      </c>
      <c r="F84" s="25" t="s">
        <v>647</v>
      </c>
      <c r="G84" s="25">
        <v>302.10000000000002</v>
      </c>
      <c r="H84" s="25" t="s">
        <v>325</v>
      </c>
      <c r="I84" s="27" t="str">
        <f t="shared" si="1"/>
        <v>Feb</v>
      </c>
    </row>
    <row r="85" spans="1:9" x14ac:dyDescent="0.25">
      <c r="A85" s="28">
        <v>10932</v>
      </c>
      <c r="B85" s="29" t="s">
        <v>56</v>
      </c>
      <c r="C85" s="30">
        <v>43165</v>
      </c>
      <c r="D85" s="30">
        <v>43193</v>
      </c>
      <c r="E85" s="30">
        <v>43183</v>
      </c>
      <c r="F85" s="29" t="s">
        <v>645</v>
      </c>
      <c r="G85" s="29">
        <v>673.19999999999993</v>
      </c>
      <c r="H85" s="29" t="s">
        <v>325</v>
      </c>
      <c r="I85" s="31" t="str">
        <f t="shared" si="1"/>
        <v>Mar</v>
      </c>
    </row>
    <row r="86" spans="1:9" x14ac:dyDescent="0.25">
      <c r="A86" s="24">
        <v>10940</v>
      </c>
      <c r="B86" s="25" t="s">
        <v>56</v>
      </c>
      <c r="C86" s="26">
        <v>43170</v>
      </c>
      <c r="D86" s="26">
        <v>43198</v>
      </c>
      <c r="E86" s="26">
        <v>43182</v>
      </c>
      <c r="F86" s="25" t="s">
        <v>647</v>
      </c>
      <c r="G86" s="25">
        <v>98.85</v>
      </c>
      <c r="H86" s="25" t="s">
        <v>325</v>
      </c>
      <c r="I86" s="27" t="str">
        <f t="shared" si="1"/>
        <v>Mar</v>
      </c>
    </row>
    <row r="87" spans="1:9" x14ac:dyDescent="0.25">
      <c r="A87" s="28">
        <v>11076</v>
      </c>
      <c r="B87" s="29" t="s">
        <v>56</v>
      </c>
      <c r="C87" s="30">
        <v>43226</v>
      </c>
      <c r="D87" s="30">
        <v>43254</v>
      </c>
      <c r="E87" s="30"/>
      <c r="F87" s="29" t="s">
        <v>646</v>
      </c>
      <c r="G87" s="29">
        <v>191.4</v>
      </c>
      <c r="H87" s="29" t="s">
        <v>325</v>
      </c>
      <c r="I87" s="31" t="str">
        <f t="shared" si="1"/>
        <v>May</v>
      </c>
    </row>
    <row r="88" spans="1:9" x14ac:dyDescent="0.25">
      <c r="A88" s="24">
        <v>10389</v>
      </c>
      <c r="B88" s="25" t="s">
        <v>59</v>
      </c>
      <c r="C88" s="26">
        <v>42724</v>
      </c>
      <c r="D88" s="26">
        <v>42752</v>
      </c>
      <c r="E88" s="26">
        <v>42728</v>
      </c>
      <c r="F88" s="25" t="s">
        <v>646</v>
      </c>
      <c r="G88" s="25">
        <v>237.10000000000002</v>
      </c>
      <c r="H88" s="25" t="s">
        <v>324</v>
      </c>
      <c r="I88" s="27" t="str">
        <f t="shared" si="1"/>
        <v>Dec</v>
      </c>
    </row>
    <row r="89" spans="1:9" x14ac:dyDescent="0.25">
      <c r="A89" s="28">
        <v>10410</v>
      </c>
      <c r="B89" s="29" t="s">
        <v>59</v>
      </c>
      <c r="C89" s="30">
        <v>42745</v>
      </c>
      <c r="D89" s="30">
        <v>42773</v>
      </c>
      <c r="E89" s="30">
        <v>42750</v>
      </c>
      <c r="F89" s="29" t="s">
        <v>647</v>
      </c>
      <c r="G89" s="29">
        <v>12</v>
      </c>
      <c r="H89" s="29" t="s">
        <v>324</v>
      </c>
      <c r="I89" s="31" t="str">
        <f t="shared" si="1"/>
        <v>Jan</v>
      </c>
    </row>
    <row r="90" spans="1:9" x14ac:dyDescent="0.25">
      <c r="A90" s="24">
        <v>10411</v>
      </c>
      <c r="B90" s="25" t="s">
        <v>59</v>
      </c>
      <c r="C90" s="26">
        <v>42745</v>
      </c>
      <c r="D90" s="26">
        <v>42773</v>
      </c>
      <c r="E90" s="26">
        <v>42756</v>
      </c>
      <c r="F90" s="25" t="s">
        <v>647</v>
      </c>
      <c r="G90" s="25">
        <v>118.25</v>
      </c>
      <c r="H90" s="25" t="s">
        <v>324</v>
      </c>
      <c r="I90" s="27" t="str">
        <f t="shared" si="1"/>
        <v>Jan</v>
      </c>
    </row>
    <row r="91" spans="1:9" x14ac:dyDescent="0.25">
      <c r="A91" s="28">
        <v>10431</v>
      </c>
      <c r="B91" s="29" t="s">
        <v>59</v>
      </c>
      <c r="C91" s="30">
        <v>42765</v>
      </c>
      <c r="D91" s="30">
        <v>42779</v>
      </c>
      <c r="E91" s="30">
        <v>42773</v>
      </c>
      <c r="F91" s="29" t="s">
        <v>646</v>
      </c>
      <c r="G91" s="29">
        <v>220.85000000000002</v>
      </c>
      <c r="H91" s="29" t="s">
        <v>324</v>
      </c>
      <c r="I91" s="31" t="str">
        <f t="shared" si="1"/>
        <v>Jan</v>
      </c>
    </row>
    <row r="92" spans="1:9" x14ac:dyDescent="0.25">
      <c r="A92" s="24">
        <v>10492</v>
      </c>
      <c r="B92" s="25" t="s">
        <v>59</v>
      </c>
      <c r="C92" s="26">
        <v>42826</v>
      </c>
      <c r="D92" s="26">
        <v>42854</v>
      </c>
      <c r="E92" s="26">
        <v>42836</v>
      </c>
      <c r="F92" s="25" t="s">
        <v>645</v>
      </c>
      <c r="G92" s="25">
        <v>314.45</v>
      </c>
      <c r="H92" s="25" t="s">
        <v>324</v>
      </c>
      <c r="I92" s="27" t="str">
        <f t="shared" si="1"/>
        <v>Apr</v>
      </c>
    </row>
    <row r="93" spans="1:9" x14ac:dyDescent="0.25">
      <c r="A93" s="28">
        <v>10742</v>
      </c>
      <c r="B93" s="29" t="s">
        <v>59</v>
      </c>
      <c r="C93" s="30">
        <v>43053</v>
      </c>
      <c r="D93" s="30">
        <v>43081</v>
      </c>
      <c r="E93" s="30">
        <v>43057</v>
      </c>
      <c r="F93" s="29" t="s">
        <v>647</v>
      </c>
      <c r="G93" s="29">
        <v>1218.6499999999999</v>
      </c>
      <c r="H93" s="29" t="s">
        <v>324</v>
      </c>
      <c r="I93" s="31" t="str">
        <f t="shared" si="1"/>
        <v>Nov</v>
      </c>
    </row>
    <row r="94" spans="1:9" x14ac:dyDescent="0.25">
      <c r="A94" s="24">
        <v>10918</v>
      </c>
      <c r="B94" s="25" t="s">
        <v>59</v>
      </c>
      <c r="C94" s="26">
        <v>43161</v>
      </c>
      <c r="D94" s="26">
        <v>43189</v>
      </c>
      <c r="E94" s="26">
        <v>43170</v>
      </c>
      <c r="F94" s="25" t="s">
        <v>647</v>
      </c>
      <c r="G94" s="25">
        <v>244.14999999999998</v>
      </c>
      <c r="H94" s="25" t="s">
        <v>324</v>
      </c>
      <c r="I94" s="27" t="str">
        <f t="shared" si="1"/>
        <v>Mar</v>
      </c>
    </row>
    <row r="95" spans="1:9" x14ac:dyDescent="0.25">
      <c r="A95" s="28">
        <v>10944</v>
      </c>
      <c r="B95" s="29" t="s">
        <v>59</v>
      </c>
      <c r="C95" s="30">
        <v>43171</v>
      </c>
      <c r="D95" s="30">
        <v>43185</v>
      </c>
      <c r="E95" s="30">
        <v>43172</v>
      </c>
      <c r="F95" s="29" t="s">
        <v>647</v>
      </c>
      <c r="G95" s="29">
        <v>264.60000000000002</v>
      </c>
      <c r="H95" s="29" t="s">
        <v>324</v>
      </c>
      <c r="I95" s="31" t="str">
        <f t="shared" si="1"/>
        <v>Mar</v>
      </c>
    </row>
    <row r="96" spans="1:9" x14ac:dyDescent="0.25">
      <c r="A96" s="24">
        <v>10949</v>
      </c>
      <c r="B96" s="25" t="s">
        <v>59</v>
      </c>
      <c r="C96" s="26">
        <v>43172</v>
      </c>
      <c r="D96" s="26">
        <v>43200</v>
      </c>
      <c r="E96" s="26">
        <v>43176</v>
      </c>
      <c r="F96" s="25" t="s">
        <v>647</v>
      </c>
      <c r="G96" s="25">
        <v>372.2</v>
      </c>
      <c r="H96" s="25" t="s">
        <v>324</v>
      </c>
      <c r="I96" s="27" t="str">
        <f t="shared" si="1"/>
        <v>Mar</v>
      </c>
    </row>
    <row r="97" spans="1:9" x14ac:dyDescent="0.25">
      <c r="A97" s="28">
        <v>10975</v>
      </c>
      <c r="B97" s="29" t="s">
        <v>59</v>
      </c>
      <c r="C97" s="30">
        <v>43184</v>
      </c>
      <c r="D97" s="30">
        <v>43212</v>
      </c>
      <c r="E97" s="30">
        <v>43186</v>
      </c>
      <c r="F97" s="29" t="s">
        <v>647</v>
      </c>
      <c r="G97" s="29">
        <v>161.35000000000002</v>
      </c>
      <c r="H97" s="29" t="s">
        <v>324</v>
      </c>
      <c r="I97" s="31" t="str">
        <f t="shared" si="1"/>
        <v>Mar</v>
      </c>
    </row>
    <row r="98" spans="1:9" x14ac:dyDescent="0.25">
      <c r="A98" s="24">
        <v>10982</v>
      </c>
      <c r="B98" s="25" t="s">
        <v>59</v>
      </c>
      <c r="C98" s="26">
        <v>43186</v>
      </c>
      <c r="D98" s="26">
        <v>43214</v>
      </c>
      <c r="E98" s="26">
        <v>43198</v>
      </c>
      <c r="F98" s="25" t="s">
        <v>645</v>
      </c>
      <c r="G98" s="25">
        <v>70.05</v>
      </c>
      <c r="H98" s="25" t="s">
        <v>324</v>
      </c>
      <c r="I98" s="27" t="str">
        <f t="shared" si="1"/>
        <v>Mar</v>
      </c>
    </row>
    <row r="99" spans="1:9" x14ac:dyDescent="0.25">
      <c r="A99" s="28">
        <v>11027</v>
      </c>
      <c r="B99" s="29" t="s">
        <v>59</v>
      </c>
      <c r="C99" s="30">
        <v>43206</v>
      </c>
      <c r="D99" s="30">
        <v>43234</v>
      </c>
      <c r="E99" s="30">
        <v>43210</v>
      </c>
      <c r="F99" s="29" t="s">
        <v>645</v>
      </c>
      <c r="G99" s="29">
        <v>262.60000000000002</v>
      </c>
      <c r="H99" s="29" t="s">
        <v>324</v>
      </c>
      <c r="I99" s="31" t="str">
        <f t="shared" si="1"/>
        <v>Apr</v>
      </c>
    </row>
    <row r="100" spans="1:9" x14ac:dyDescent="0.25">
      <c r="A100" s="24">
        <v>11045</v>
      </c>
      <c r="B100" s="25" t="s">
        <v>59</v>
      </c>
      <c r="C100" s="26">
        <v>43213</v>
      </c>
      <c r="D100" s="26">
        <v>43241</v>
      </c>
      <c r="E100" s="26"/>
      <c r="F100" s="25" t="s">
        <v>646</v>
      </c>
      <c r="G100" s="25">
        <v>352.9</v>
      </c>
      <c r="H100" s="25" t="s">
        <v>324</v>
      </c>
      <c r="I100" s="27" t="str">
        <f t="shared" si="1"/>
        <v>Apr</v>
      </c>
    </row>
    <row r="101" spans="1:9" x14ac:dyDescent="0.25">
      <c r="A101" s="28">
        <v>11048</v>
      </c>
      <c r="B101" s="29" t="s">
        <v>59</v>
      </c>
      <c r="C101" s="30">
        <v>43214</v>
      </c>
      <c r="D101" s="30">
        <v>43242</v>
      </c>
      <c r="E101" s="30">
        <v>43220</v>
      </c>
      <c r="F101" s="29" t="s">
        <v>647</v>
      </c>
      <c r="G101" s="29">
        <v>120.60000000000001</v>
      </c>
      <c r="H101" s="29" t="s">
        <v>324</v>
      </c>
      <c r="I101" s="31" t="str">
        <f t="shared" si="1"/>
        <v>Apr</v>
      </c>
    </row>
    <row r="102" spans="1:9" x14ac:dyDescent="0.25">
      <c r="A102" s="24">
        <v>10289</v>
      </c>
      <c r="B102" s="25" t="s">
        <v>63</v>
      </c>
      <c r="C102" s="26">
        <v>42608</v>
      </c>
      <c r="D102" s="26">
        <v>42636</v>
      </c>
      <c r="E102" s="26">
        <v>42610</v>
      </c>
      <c r="F102" s="25" t="s">
        <v>647</v>
      </c>
      <c r="G102" s="25">
        <v>113.85</v>
      </c>
      <c r="H102" s="25" t="s">
        <v>326</v>
      </c>
      <c r="I102" s="27" t="str">
        <f t="shared" si="1"/>
        <v>Aug</v>
      </c>
    </row>
    <row r="103" spans="1:9" x14ac:dyDescent="0.25">
      <c r="A103" s="28">
        <v>10471</v>
      </c>
      <c r="B103" s="29" t="s">
        <v>63</v>
      </c>
      <c r="C103" s="30">
        <v>42805</v>
      </c>
      <c r="D103" s="30">
        <v>42833</v>
      </c>
      <c r="E103" s="30">
        <v>42812</v>
      </c>
      <c r="F103" s="29" t="s">
        <v>647</v>
      </c>
      <c r="G103" s="29">
        <v>227.95000000000002</v>
      </c>
      <c r="H103" s="29" t="s">
        <v>326</v>
      </c>
      <c r="I103" s="31" t="str">
        <f t="shared" si="1"/>
        <v>Mar</v>
      </c>
    </row>
    <row r="104" spans="1:9" x14ac:dyDescent="0.25">
      <c r="A104" s="24">
        <v>10484</v>
      </c>
      <c r="B104" s="25" t="s">
        <v>63</v>
      </c>
      <c r="C104" s="26">
        <v>42818</v>
      </c>
      <c r="D104" s="26">
        <v>42846</v>
      </c>
      <c r="E104" s="26">
        <v>42826</v>
      </c>
      <c r="F104" s="25" t="s">
        <v>647</v>
      </c>
      <c r="G104" s="25">
        <v>34.4</v>
      </c>
      <c r="H104" s="25" t="s">
        <v>326</v>
      </c>
      <c r="I104" s="27" t="str">
        <f t="shared" si="1"/>
        <v>Mar</v>
      </c>
    </row>
    <row r="105" spans="1:9" x14ac:dyDescent="0.25">
      <c r="A105" s="28">
        <v>10538</v>
      </c>
      <c r="B105" s="29" t="s">
        <v>63</v>
      </c>
      <c r="C105" s="30">
        <v>42870</v>
      </c>
      <c r="D105" s="30">
        <v>42898</v>
      </c>
      <c r="E105" s="30">
        <v>42871</v>
      </c>
      <c r="F105" s="29" t="s">
        <v>647</v>
      </c>
      <c r="G105" s="29">
        <v>24.35</v>
      </c>
      <c r="H105" s="29" t="s">
        <v>326</v>
      </c>
      <c r="I105" s="31" t="str">
        <f t="shared" si="1"/>
        <v>May</v>
      </c>
    </row>
    <row r="106" spans="1:9" x14ac:dyDescent="0.25">
      <c r="A106" s="24">
        <v>10539</v>
      </c>
      <c r="B106" s="25" t="s">
        <v>63</v>
      </c>
      <c r="C106" s="26">
        <v>42871</v>
      </c>
      <c r="D106" s="26">
        <v>42899</v>
      </c>
      <c r="E106" s="26">
        <v>42878</v>
      </c>
      <c r="F106" s="25" t="s">
        <v>647</v>
      </c>
      <c r="G106" s="25">
        <v>61.8</v>
      </c>
      <c r="H106" s="25" t="s">
        <v>326</v>
      </c>
      <c r="I106" s="27" t="str">
        <f t="shared" si="1"/>
        <v>May</v>
      </c>
    </row>
    <row r="107" spans="1:9" x14ac:dyDescent="0.25">
      <c r="A107" s="28">
        <v>10578</v>
      </c>
      <c r="B107" s="29" t="s">
        <v>63</v>
      </c>
      <c r="C107" s="30">
        <v>42910</v>
      </c>
      <c r="D107" s="30">
        <v>42938</v>
      </c>
      <c r="E107" s="30">
        <v>42941</v>
      </c>
      <c r="F107" s="29" t="s">
        <v>647</v>
      </c>
      <c r="G107" s="29">
        <v>148</v>
      </c>
      <c r="H107" s="29" t="s">
        <v>326</v>
      </c>
      <c r="I107" s="31" t="str">
        <f t="shared" si="1"/>
        <v>Jun</v>
      </c>
    </row>
    <row r="108" spans="1:9" x14ac:dyDescent="0.25">
      <c r="A108" s="24">
        <v>10599</v>
      </c>
      <c r="B108" s="25" t="s">
        <v>63</v>
      </c>
      <c r="C108" s="26">
        <v>42931</v>
      </c>
      <c r="D108" s="26">
        <v>42973</v>
      </c>
      <c r="E108" s="26">
        <v>42937</v>
      </c>
      <c r="F108" s="25" t="s">
        <v>647</v>
      </c>
      <c r="G108" s="25">
        <v>149.9</v>
      </c>
      <c r="H108" s="25" t="s">
        <v>326</v>
      </c>
      <c r="I108" s="27" t="str">
        <f t="shared" si="1"/>
        <v>Jul</v>
      </c>
    </row>
    <row r="109" spans="1:9" x14ac:dyDescent="0.25">
      <c r="A109" s="28">
        <v>10943</v>
      </c>
      <c r="B109" s="29" t="s">
        <v>63</v>
      </c>
      <c r="C109" s="30">
        <v>43170</v>
      </c>
      <c r="D109" s="30">
        <v>43198</v>
      </c>
      <c r="E109" s="30">
        <v>43178</v>
      </c>
      <c r="F109" s="29" t="s">
        <v>646</v>
      </c>
      <c r="G109" s="29">
        <v>10.85</v>
      </c>
      <c r="H109" s="29" t="s">
        <v>326</v>
      </c>
      <c r="I109" s="31" t="str">
        <f t="shared" si="1"/>
        <v>Mar</v>
      </c>
    </row>
    <row r="110" spans="1:9" x14ac:dyDescent="0.25">
      <c r="A110" s="24">
        <v>10947</v>
      </c>
      <c r="B110" s="25" t="s">
        <v>63</v>
      </c>
      <c r="C110" s="26">
        <v>43172</v>
      </c>
      <c r="D110" s="26">
        <v>43200</v>
      </c>
      <c r="E110" s="26">
        <v>43175</v>
      </c>
      <c r="F110" s="25" t="s">
        <v>646</v>
      </c>
      <c r="G110" s="25">
        <v>16.299999999999997</v>
      </c>
      <c r="H110" s="25" t="s">
        <v>326</v>
      </c>
      <c r="I110" s="27" t="str">
        <f t="shared" si="1"/>
        <v>Mar</v>
      </c>
    </row>
    <row r="111" spans="1:9" x14ac:dyDescent="0.25">
      <c r="A111" s="28">
        <v>11023</v>
      </c>
      <c r="B111" s="29" t="s">
        <v>63</v>
      </c>
      <c r="C111" s="30">
        <v>43204</v>
      </c>
      <c r="D111" s="30">
        <v>43218</v>
      </c>
      <c r="E111" s="30">
        <v>43214</v>
      </c>
      <c r="F111" s="29" t="s">
        <v>646</v>
      </c>
      <c r="G111" s="29">
        <v>619.15</v>
      </c>
      <c r="H111" s="29" t="s">
        <v>326</v>
      </c>
      <c r="I111" s="31" t="str">
        <f t="shared" si="1"/>
        <v>Apr</v>
      </c>
    </row>
    <row r="112" spans="1:9" x14ac:dyDescent="0.25">
      <c r="A112" s="24">
        <v>10521</v>
      </c>
      <c r="B112" s="25" t="s">
        <v>65</v>
      </c>
      <c r="C112" s="26">
        <v>42854</v>
      </c>
      <c r="D112" s="26">
        <v>42882</v>
      </c>
      <c r="E112" s="26">
        <v>42857</v>
      </c>
      <c r="F112" s="25" t="s">
        <v>646</v>
      </c>
      <c r="G112" s="25">
        <v>86.1</v>
      </c>
      <c r="H112" s="25" t="s">
        <v>327</v>
      </c>
      <c r="I112" s="27" t="str">
        <f t="shared" si="1"/>
        <v>Apr</v>
      </c>
    </row>
    <row r="113" spans="1:9" x14ac:dyDescent="0.25">
      <c r="A113" s="28">
        <v>10782</v>
      </c>
      <c r="B113" s="29" t="s">
        <v>65</v>
      </c>
      <c r="C113" s="30">
        <v>43086</v>
      </c>
      <c r="D113" s="30">
        <v>43114</v>
      </c>
      <c r="E113" s="30">
        <v>43091</v>
      </c>
      <c r="F113" s="29" t="s">
        <v>647</v>
      </c>
      <c r="G113" s="29">
        <v>5.5</v>
      </c>
      <c r="H113" s="29" t="s">
        <v>327</v>
      </c>
      <c r="I113" s="31" t="str">
        <f t="shared" si="1"/>
        <v>Dec</v>
      </c>
    </row>
    <row r="114" spans="1:9" x14ac:dyDescent="0.25">
      <c r="A114" s="24">
        <v>10819</v>
      </c>
      <c r="B114" s="25" t="s">
        <v>65</v>
      </c>
      <c r="C114" s="26">
        <v>43107</v>
      </c>
      <c r="D114" s="26">
        <v>43135</v>
      </c>
      <c r="E114" s="26">
        <v>43116</v>
      </c>
      <c r="F114" s="25" t="s">
        <v>647</v>
      </c>
      <c r="G114" s="25">
        <v>98.800000000000011</v>
      </c>
      <c r="H114" s="25" t="s">
        <v>327</v>
      </c>
      <c r="I114" s="27" t="str">
        <f t="shared" si="1"/>
        <v>Jan</v>
      </c>
    </row>
    <row r="115" spans="1:9" x14ac:dyDescent="0.25">
      <c r="A115" s="28">
        <v>10881</v>
      </c>
      <c r="B115" s="29" t="s">
        <v>65</v>
      </c>
      <c r="C115" s="30">
        <v>43142</v>
      </c>
      <c r="D115" s="30">
        <v>43170</v>
      </c>
      <c r="E115" s="30">
        <v>43149</v>
      </c>
      <c r="F115" s="29" t="s">
        <v>645</v>
      </c>
      <c r="G115" s="29">
        <v>14.2</v>
      </c>
      <c r="H115" s="29" t="s">
        <v>327</v>
      </c>
      <c r="I115" s="31" t="str">
        <f t="shared" si="1"/>
        <v>Feb</v>
      </c>
    </row>
    <row r="116" spans="1:9" x14ac:dyDescent="0.25">
      <c r="A116" s="24">
        <v>10937</v>
      </c>
      <c r="B116" s="25" t="s">
        <v>65</v>
      </c>
      <c r="C116" s="26">
        <v>43169</v>
      </c>
      <c r="D116" s="26">
        <v>43183</v>
      </c>
      <c r="E116" s="26">
        <v>43172</v>
      </c>
      <c r="F116" s="25" t="s">
        <v>647</v>
      </c>
      <c r="G116" s="25">
        <v>157.55000000000001</v>
      </c>
      <c r="H116" s="25" t="s">
        <v>327</v>
      </c>
      <c r="I116" s="27" t="str">
        <f t="shared" si="1"/>
        <v>Mar</v>
      </c>
    </row>
    <row r="117" spans="1:9" x14ac:dyDescent="0.25">
      <c r="A117" s="28">
        <v>11054</v>
      </c>
      <c r="B117" s="29" t="s">
        <v>65</v>
      </c>
      <c r="C117" s="30">
        <v>43218</v>
      </c>
      <c r="D117" s="30">
        <v>43246</v>
      </c>
      <c r="E117" s="30"/>
      <c r="F117" s="29" t="s">
        <v>645</v>
      </c>
      <c r="G117" s="29">
        <v>1.6500000000000001</v>
      </c>
      <c r="H117" s="29" t="s">
        <v>327</v>
      </c>
      <c r="I117" s="31" t="str">
        <f t="shared" si="1"/>
        <v>Apr</v>
      </c>
    </row>
    <row r="118" spans="1:9" x14ac:dyDescent="0.25">
      <c r="A118" s="24">
        <v>10259</v>
      </c>
      <c r="B118" s="25" t="s">
        <v>69</v>
      </c>
      <c r="C118" s="26">
        <v>42569</v>
      </c>
      <c r="D118" s="26">
        <v>42597</v>
      </c>
      <c r="E118" s="26">
        <v>42576</v>
      </c>
      <c r="F118" s="25" t="s">
        <v>647</v>
      </c>
      <c r="G118" s="25">
        <v>16.25</v>
      </c>
      <c r="H118" s="25" t="s">
        <v>328</v>
      </c>
      <c r="I118" s="27" t="str">
        <f t="shared" si="1"/>
        <v>Jul</v>
      </c>
    </row>
    <row r="119" spans="1:9" x14ac:dyDescent="0.25">
      <c r="A119" s="28">
        <v>10254</v>
      </c>
      <c r="B119" s="29" t="s">
        <v>72</v>
      </c>
      <c r="C119" s="30">
        <v>42562</v>
      </c>
      <c r="D119" s="30">
        <v>42590</v>
      </c>
      <c r="E119" s="30">
        <v>42574</v>
      </c>
      <c r="F119" s="29" t="s">
        <v>646</v>
      </c>
      <c r="G119" s="29">
        <v>114.9</v>
      </c>
      <c r="H119" s="29" t="s">
        <v>329</v>
      </c>
      <c r="I119" s="31" t="str">
        <f t="shared" si="1"/>
        <v>Jul</v>
      </c>
    </row>
    <row r="120" spans="1:9" x14ac:dyDescent="0.25">
      <c r="A120" s="24">
        <v>10370</v>
      </c>
      <c r="B120" s="25" t="s">
        <v>72</v>
      </c>
      <c r="C120" s="26">
        <v>42707</v>
      </c>
      <c r="D120" s="26">
        <v>42735</v>
      </c>
      <c r="E120" s="26">
        <v>42731</v>
      </c>
      <c r="F120" s="25" t="s">
        <v>646</v>
      </c>
      <c r="G120" s="25">
        <v>5.85</v>
      </c>
      <c r="H120" s="25" t="s">
        <v>329</v>
      </c>
      <c r="I120" s="27" t="str">
        <f t="shared" si="1"/>
        <v>Dec</v>
      </c>
    </row>
    <row r="121" spans="1:9" x14ac:dyDescent="0.25">
      <c r="A121" s="28">
        <v>10519</v>
      </c>
      <c r="B121" s="29" t="s">
        <v>72</v>
      </c>
      <c r="C121" s="30">
        <v>42853</v>
      </c>
      <c r="D121" s="30">
        <v>42881</v>
      </c>
      <c r="E121" s="30">
        <v>42856</v>
      </c>
      <c r="F121" s="29" t="s">
        <v>647</v>
      </c>
      <c r="G121" s="29">
        <v>458.8</v>
      </c>
      <c r="H121" s="29" t="s">
        <v>329</v>
      </c>
      <c r="I121" s="31" t="str">
        <f t="shared" si="1"/>
        <v>Apr</v>
      </c>
    </row>
    <row r="122" spans="1:9" x14ac:dyDescent="0.25">
      <c r="A122" s="24">
        <v>10731</v>
      </c>
      <c r="B122" s="25" t="s">
        <v>72</v>
      </c>
      <c r="C122" s="26">
        <v>43045</v>
      </c>
      <c r="D122" s="26">
        <v>43073</v>
      </c>
      <c r="E122" s="26">
        <v>43053</v>
      </c>
      <c r="F122" s="25" t="s">
        <v>645</v>
      </c>
      <c r="G122" s="25">
        <v>483.25</v>
      </c>
      <c r="H122" s="25" t="s">
        <v>329</v>
      </c>
      <c r="I122" s="27" t="str">
        <f t="shared" si="1"/>
        <v>Nov</v>
      </c>
    </row>
    <row r="123" spans="1:9" x14ac:dyDescent="0.25">
      <c r="A123" s="28">
        <v>10746</v>
      </c>
      <c r="B123" s="29" t="s">
        <v>72</v>
      </c>
      <c r="C123" s="30">
        <v>43058</v>
      </c>
      <c r="D123" s="30">
        <v>43086</v>
      </c>
      <c r="E123" s="30">
        <v>43060</v>
      </c>
      <c r="F123" s="29" t="s">
        <v>647</v>
      </c>
      <c r="G123" s="29">
        <v>157.15</v>
      </c>
      <c r="H123" s="29" t="s">
        <v>329</v>
      </c>
      <c r="I123" s="31" t="str">
        <f t="shared" si="1"/>
        <v>Nov</v>
      </c>
    </row>
    <row r="124" spans="1:9" x14ac:dyDescent="0.25">
      <c r="A124" s="24">
        <v>10966</v>
      </c>
      <c r="B124" s="25" t="s">
        <v>72</v>
      </c>
      <c r="C124" s="26">
        <v>43179</v>
      </c>
      <c r="D124" s="26">
        <v>43207</v>
      </c>
      <c r="E124" s="26">
        <v>43198</v>
      </c>
      <c r="F124" s="25" t="s">
        <v>645</v>
      </c>
      <c r="G124" s="25">
        <v>135.95000000000002</v>
      </c>
      <c r="H124" s="25" t="s">
        <v>329</v>
      </c>
      <c r="I124" s="27" t="str">
        <f t="shared" si="1"/>
        <v>Mar</v>
      </c>
    </row>
    <row r="125" spans="1:9" x14ac:dyDescent="0.25">
      <c r="A125" s="28">
        <v>11029</v>
      </c>
      <c r="B125" s="29" t="s">
        <v>72</v>
      </c>
      <c r="C125" s="30">
        <v>43206</v>
      </c>
      <c r="D125" s="30">
        <v>43234</v>
      </c>
      <c r="E125" s="30">
        <v>43217</v>
      </c>
      <c r="F125" s="29" t="s">
        <v>645</v>
      </c>
      <c r="G125" s="29">
        <v>239.20000000000002</v>
      </c>
      <c r="H125" s="29" t="s">
        <v>329</v>
      </c>
      <c r="I125" s="31" t="str">
        <f t="shared" si="1"/>
        <v>Apr</v>
      </c>
    </row>
    <row r="126" spans="1:9" x14ac:dyDescent="0.25">
      <c r="A126" s="24">
        <v>11041</v>
      </c>
      <c r="B126" s="25" t="s">
        <v>72</v>
      </c>
      <c r="C126" s="26">
        <v>43212</v>
      </c>
      <c r="D126" s="26">
        <v>43240</v>
      </c>
      <c r="E126" s="26">
        <v>43218</v>
      </c>
      <c r="F126" s="25" t="s">
        <v>646</v>
      </c>
      <c r="G126" s="25">
        <v>241.1</v>
      </c>
      <c r="H126" s="25" t="s">
        <v>329</v>
      </c>
      <c r="I126" s="27" t="str">
        <f t="shared" si="1"/>
        <v>Apr</v>
      </c>
    </row>
    <row r="127" spans="1:9" x14ac:dyDescent="0.25">
      <c r="A127" s="28">
        <v>10290</v>
      </c>
      <c r="B127" s="29" t="s">
        <v>74</v>
      </c>
      <c r="C127" s="30">
        <v>42609</v>
      </c>
      <c r="D127" s="30">
        <v>42637</v>
      </c>
      <c r="E127" s="30">
        <v>42616</v>
      </c>
      <c r="F127" s="29" t="s">
        <v>645</v>
      </c>
      <c r="G127" s="29">
        <v>398.5</v>
      </c>
      <c r="H127" s="29" t="s">
        <v>330</v>
      </c>
      <c r="I127" s="31" t="str">
        <f t="shared" si="1"/>
        <v>Aug</v>
      </c>
    </row>
    <row r="128" spans="1:9" x14ac:dyDescent="0.25">
      <c r="A128" s="24">
        <v>10466</v>
      </c>
      <c r="B128" s="25" t="s">
        <v>74</v>
      </c>
      <c r="C128" s="26">
        <v>42800</v>
      </c>
      <c r="D128" s="26">
        <v>42828</v>
      </c>
      <c r="E128" s="26">
        <v>42807</v>
      </c>
      <c r="F128" s="25" t="s">
        <v>645</v>
      </c>
      <c r="G128" s="25">
        <v>59.65</v>
      </c>
      <c r="H128" s="25" t="s">
        <v>330</v>
      </c>
      <c r="I128" s="27" t="str">
        <f t="shared" si="1"/>
        <v>Mar</v>
      </c>
    </row>
    <row r="129" spans="1:9" x14ac:dyDescent="0.25">
      <c r="A129" s="28">
        <v>10494</v>
      </c>
      <c r="B129" s="29" t="s">
        <v>74</v>
      </c>
      <c r="C129" s="30">
        <v>42827</v>
      </c>
      <c r="D129" s="30">
        <v>42855</v>
      </c>
      <c r="E129" s="30">
        <v>42834</v>
      </c>
      <c r="F129" s="29" t="s">
        <v>646</v>
      </c>
      <c r="G129" s="29">
        <v>329.95</v>
      </c>
      <c r="H129" s="29" t="s">
        <v>330</v>
      </c>
      <c r="I129" s="31" t="str">
        <f t="shared" si="1"/>
        <v>Apr</v>
      </c>
    </row>
    <row r="130" spans="1:9" x14ac:dyDescent="0.25">
      <c r="A130" s="24">
        <v>10969</v>
      </c>
      <c r="B130" s="25" t="s">
        <v>74</v>
      </c>
      <c r="C130" s="26">
        <v>43182</v>
      </c>
      <c r="D130" s="26">
        <v>43210</v>
      </c>
      <c r="E130" s="26">
        <v>43189</v>
      </c>
      <c r="F130" s="25" t="s">
        <v>646</v>
      </c>
      <c r="G130" s="25">
        <v>1.05</v>
      </c>
      <c r="H130" s="25" t="s">
        <v>330</v>
      </c>
      <c r="I130" s="27" t="str">
        <f t="shared" si="1"/>
        <v>Mar</v>
      </c>
    </row>
    <row r="131" spans="1:9" x14ac:dyDescent="0.25">
      <c r="A131" s="28">
        <v>11042</v>
      </c>
      <c r="B131" s="29" t="s">
        <v>74</v>
      </c>
      <c r="C131" s="30">
        <v>43212</v>
      </c>
      <c r="D131" s="30">
        <v>43226</v>
      </c>
      <c r="E131" s="30">
        <v>43221</v>
      </c>
      <c r="F131" s="29" t="s">
        <v>645</v>
      </c>
      <c r="G131" s="29">
        <v>149.94999999999999</v>
      </c>
      <c r="H131" s="29" t="s">
        <v>330</v>
      </c>
      <c r="I131" s="31" t="str">
        <f t="shared" ref="I131:I194" si="2">TEXT(C131,"mmm")</f>
        <v>Apr</v>
      </c>
    </row>
    <row r="132" spans="1:9" x14ac:dyDescent="0.25">
      <c r="A132" s="24">
        <v>10435</v>
      </c>
      <c r="B132" s="25" t="s">
        <v>78</v>
      </c>
      <c r="C132" s="26">
        <v>42770</v>
      </c>
      <c r="D132" s="26">
        <v>42812</v>
      </c>
      <c r="E132" s="26">
        <v>42773</v>
      </c>
      <c r="F132" s="25" t="s">
        <v>646</v>
      </c>
      <c r="G132" s="25">
        <v>46.050000000000004</v>
      </c>
      <c r="H132" s="25" t="s">
        <v>17</v>
      </c>
      <c r="I132" s="27" t="str">
        <f t="shared" si="2"/>
        <v>Feb</v>
      </c>
    </row>
    <row r="133" spans="1:9" x14ac:dyDescent="0.25">
      <c r="A133" s="28">
        <v>10462</v>
      </c>
      <c r="B133" s="29" t="s">
        <v>78</v>
      </c>
      <c r="C133" s="30">
        <v>42797</v>
      </c>
      <c r="D133" s="30">
        <v>42825</v>
      </c>
      <c r="E133" s="30">
        <v>42812</v>
      </c>
      <c r="F133" s="29" t="s">
        <v>645</v>
      </c>
      <c r="G133" s="29">
        <v>30.85</v>
      </c>
      <c r="H133" s="29" t="s">
        <v>17</v>
      </c>
      <c r="I133" s="31" t="str">
        <f t="shared" si="2"/>
        <v>Mar</v>
      </c>
    </row>
    <row r="134" spans="1:9" x14ac:dyDescent="0.25">
      <c r="A134" s="24">
        <v>10848</v>
      </c>
      <c r="B134" s="25" t="s">
        <v>78</v>
      </c>
      <c r="C134" s="26">
        <v>43123</v>
      </c>
      <c r="D134" s="26">
        <v>43151</v>
      </c>
      <c r="E134" s="26">
        <v>43129</v>
      </c>
      <c r="F134" s="25" t="s">
        <v>646</v>
      </c>
      <c r="G134" s="25">
        <v>191.20000000000002</v>
      </c>
      <c r="H134" s="25" t="s">
        <v>17</v>
      </c>
      <c r="I134" s="27" t="str">
        <f t="shared" si="2"/>
        <v>Jan</v>
      </c>
    </row>
    <row r="135" spans="1:9" x14ac:dyDescent="0.25">
      <c r="A135" s="28">
        <v>10363</v>
      </c>
      <c r="B135" s="29" t="s">
        <v>81</v>
      </c>
      <c r="C135" s="30">
        <v>42700</v>
      </c>
      <c r="D135" s="30">
        <v>42728</v>
      </c>
      <c r="E135" s="30">
        <v>42708</v>
      </c>
      <c r="F135" s="29" t="s">
        <v>647</v>
      </c>
      <c r="G135" s="29">
        <v>152.69999999999999</v>
      </c>
      <c r="H135" s="29" t="s">
        <v>331</v>
      </c>
      <c r="I135" s="31" t="str">
        <f t="shared" si="2"/>
        <v>Nov</v>
      </c>
    </row>
    <row r="136" spans="1:9" x14ac:dyDescent="0.25">
      <c r="A136" s="24">
        <v>10391</v>
      </c>
      <c r="B136" s="25" t="s">
        <v>81</v>
      </c>
      <c r="C136" s="26">
        <v>42727</v>
      </c>
      <c r="D136" s="26">
        <v>42755</v>
      </c>
      <c r="E136" s="26">
        <v>42735</v>
      </c>
      <c r="F136" s="25" t="s">
        <v>647</v>
      </c>
      <c r="G136" s="25">
        <v>27.25</v>
      </c>
      <c r="H136" s="25" t="s">
        <v>331</v>
      </c>
      <c r="I136" s="27" t="str">
        <f t="shared" si="2"/>
        <v>Dec</v>
      </c>
    </row>
    <row r="137" spans="1:9" x14ac:dyDescent="0.25">
      <c r="A137" s="28">
        <v>10797</v>
      </c>
      <c r="B137" s="29" t="s">
        <v>81</v>
      </c>
      <c r="C137" s="30">
        <v>43094</v>
      </c>
      <c r="D137" s="30">
        <v>43122</v>
      </c>
      <c r="E137" s="30">
        <v>43105</v>
      </c>
      <c r="F137" s="29" t="s">
        <v>646</v>
      </c>
      <c r="G137" s="29">
        <v>166.75</v>
      </c>
      <c r="H137" s="29" t="s">
        <v>331</v>
      </c>
      <c r="I137" s="31" t="str">
        <f t="shared" si="2"/>
        <v>Dec</v>
      </c>
    </row>
    <row r="138" spans="1:9" x14ac:dyDescent="0.25">
      <c r="A138" s="24">
        <v>10825</v>
      </c>
      <c r="B138" s="25" t="s">
        <v>81</v>
      </c>
      <c r="C138" s="26">
        <v>43109</v>
      </c>
      <c r="D138" s="26">
        <v>43137</v>
      </c>
      <c r="E138" s="26">
        <v>43114</v>
      </c>
      <c r="F138" s="25" t="s">
        <v>645</v>
      </c>
      <c r="G138" s="25">
        <v>396.25</v>
      </c>
      <c r="H138" s="25" t="s">
        <v>331</v>
      </c>
      <c r="I138" s="27" t="str">
        <f t="shared" si="2"/>
        <v>Jan</v>
      </c>
    </row>
    <row r="139" spans="1:9" x14ac:dyDescent="0.25">
      <c r="A139" s="28">
        <v>11036</v>
      </c>
      <c r="B139" s="29" t="s">
        <v>81</v>
      </c>
      <c r="C139" s="30">
        <v>43210</v>
      </c>
      <c r="D139" s="30">
        <v>43238</v>
      </c>
      <c r="E139" s="30">
        <v>43212</v>
      </c>
      <c r="F139" s="29" t="s">
        <v>647</v>
      </c>
      <c r="G139" s="29">
        <v>747.35</v>
      </c>
      <c r="H139" s="29" t="s">
        <v>331</v>
      </c>
      <c r="I139" s="31" t="str">
        <f t="shared" si="2"/>
        <v>Apr</v>
      </c>
    </row>
    <row r="140" spans="1:9" x14ac:dyDescent="0.25">
      <c r="A140" s="24">
        <v>11067</v>
      </c>
      <c r="B140" s="25" t="s">
        <v>81</v>
      </c>
      <c r="C140" s="26">
        <v>43224</v>
      </c>
      <c r="D140" s="26">
        <v>43238</v>
      </c>
      <c r="E140" s="26">
        <v>43226</v>
      </c>
      <c r="F140" s="25" t="s">
        <v>646</v>
      </c>
      <c r="G140" s="25">
        <v>39.900000000000006</v>
      </c>
      <c r="H140" s="25" t="s">
        <v>331</v>
      </c>
      <c r="I140" s="27" t="str">
        <f t="shared" si="2"/>
        <v>May</v>
      </c>
    </row>
    <row r="141" spans="1:9" x14ac:dyDescent="0.25">
      <c r="A141" s="28">
        <v>10311</v>
      </c>
      <c r="B141" s="29" t="s">
        <v>84</v>
      </c>
      <c r="C141" s="30">
        <v>42633</v>
      </c>
      <c r="D141" s="30">
        <v>42647</v>
      </c>
      <c r="E141" s="30">
        <v>42639</v>
      </c>
      <c r="F141" s="29" t="s">
        <v>647</v>
      </c>
      <c r="G141" s="29">
        <v>123.45</v>
      </c>
      <c r="H141" s="29" t="s">
        <v>332</v>
      </c>
      <c r="I141" s="31" t="str">
        <f t="shared" si="2"/>
        <v>Sep</v>
      </c>
    </row>
    <row r="142" spans="1:9" x14ac:dyDescent="0.25">
      <c r="A142" s="24">
        <v>10609</v>
      </c>
      <c r="B142" s="25" t="s">
        <v>84</v>
      </c>
      <c r="C142" s="26">
        <v>42940</v>
      </c>
      <c r="D142" s="26">
        <v>42968</v>
      </c>
      <c r="E142" s="26">
        <v>42946</v>
      </c>
      <c r="F142" s="25" t="s">
        <v>646</v>
      </c>
      <c r="G142" s="25">
        <v>9.25</v>
      </c>
      <c r="H142" s="25" t="s">
        <v>332</v>
      </c>
      <c r="I142" s="27" t="str">
        <f t="shared" si="2"/>
        <v>Jul</v>
      </c>
    </row>
    <row r="143" spans="1:9" x14ac:dyDescent="0.25">
      <c r="A143" s="28">
        <v>10683</v>
      </c>
      <c r="B143" s="29" t="s">
        <v>84</v>
      </c>
      <c r="C143" s="30">
        <v>43004</v>
      </c>
      <c r="D143" s="30">
        <v>43032</v>
      </c>
      <c r="E143" s="30">
        <v>43009</v>
      </c>
      <c r="F143" s="29" t="s">
        <v>645</v>
      </c>
      <c r="G143" s="29">
        <v>22</v>
      </c>
      <c r="H143" s="29" t="s">
        <v>332</v>
      </c>
      <c r="I143" s="31" t="str">
        <f t="shared" si="2"/>
        <v>Sep</v>
      </c>
    </row>
    <row r="144" spans="1:9" x14ac:dyDescent="0.25">
      <c r="A144" s="24">
        <v>10890</v>
      </c>
      <c r="B144" s="25" t="s">
        <v>84</v>
      </c>
      <c r="C144" s="26">
        <v>43147</v>
      </c>
      <c r="D144" s="26">
        <v>43175</v>
      </c>
      <c r="E144" s="26">
        <v>43149</v>
      </c>
      <c r="F144" s="25" t="s">
        <v>645</v>
      </c>
      <c r="G144" s="25">
        <v>163.79999999999998</v>
      </c>
      <c r="H144" s="25" t="s">
        <v>332</v>
      </c>
      <c r="I144" s="27" t="str">
        <f t="shared" si="2"/>
        <v>Feb</v>
      </c>
    </row>
    <row r="145" spans="1:9" x14ac:dyDescent="0.25">
      <c r="A145" s="28">
        <v>10364</v>
      </c>
      <c r="B145" s="29" t="s">
        <v>87</v>
      </c>
      <c r="C145" s="30">
        <v>42700</v>
      </c>
      <c r="D145" s="30">
        <v>42742</v>
      </c>
      <c r="E145" s="30">
        <v>42708</v>
      </c>
      <c r="F145" s="29" t="s">
        <v>645</v>
      </c>
      <c r="G145" s="29">
        <v>359.85</v>
      </c>
      <c r="H145" s="29" t="s">
        <v>16</v>
      </c>
      <c r="I145" s="31" t="str">
        <f t="shared" si="2"/>
        <v>Nov</v>
      </c>
    </row>
    <row r="146" spans="1:9" x14ac:dyDescent="0.25">
      <c r="A146" s="24">
        <v>10400</v>
      </c>
      <c r="B146" s="25" t="s">
        <v>87</v>
      </c>
      <c r="C146" s="26">
        <v>42736</v>
      </c>
      <c r="D146" s="26">
        <v>42764</v>
      </c>
      <c r="E146" s="26">
        <v>42751</v>
      </c>
      <c r="F146" s="25" t="s">
        <v>647</v>
      </c>
      <c r="G146" s="25">
        <v>419.65000000000003</v>
      </c>
      <c r="H146" s="25" t="s">
        <v>16</v>
      </c>
      <c r="I146" s="27" t="str">
        <f t="shared" si="2"/>
        <v>Jan</v>
      </c>
    </row>
    <row r="147" spans="1:9" x14ac:dyDescent="0.25">
      <c r="A147" s="28">
        <v>10532</v>
      </c>
      <c r="B147" s="29" t="s">
        <v>87</v>
      </c>
      <c r="C147" s="30">
        <v>42864</v>
      </c>
      <c r="D147" s="30">
        <v>42892</v>
      </c>
      <c r="E147" s="30">
        <v>42867</v>
      </c>
      <c r="F147" s="29" t="s">
        <v>647</v>
      </c>
      <c r="G147" s="29">
        <v>372.29999999999995</v>
      </c>
      <c r="H147" s="29" t="s">
        <v>16</v>
      </c>
      <c r="I147" s="31" t="str">
        <f t="shared" si="2"/>
        <v>May</v>
      </c>
    </row>
    <row r="148" spans="1:9" x14ac:dyDescent="0.25">
      <c r="A148" s="24">
        <v>10726</v>
      </c>
      <c r="B148" s="25" t="s">
        <v>87</v>
      </c>
      <c r="C148" s="26">
        <v>43042</v>
      </c>
      <c r="D148" s="26">
        <v>43056</v>
      </c>
      <c r="E148" s="26">
        <v>43074</v>
      </c>
      <c r="F148" s="25" t="s">
        <v>645</v>
      </c>
      <c r="G148" s="25">
        <v>82.8</v>
      </c>
      <c r="H148" s="25" t="s">
        <v>16</v>
      </c>
      <c r="I148" s="27" t="str">
        <f t="shared" si="2"/>
        <v>Nov</v>
      </c>
    </row>
    <row r="149" spans="1:9" x14ac:dyDescent="0.25">
      <c r="A149" s="28">
        <v>10987</v>
      </c>
      <c r="B149" s="29" t="s">
        <v>87</v>
      </c>
      <c r="C149" s="30">
        <v>43190</v>
      </c>
      <c r="D149" s="30">
        <v>43218</v>
      </c>
      <c r="E149" s="30">
        <v>43196</v>
      </c>
      <c r="F149" s="29" t="s">
        <v>645</v>
      </c>
      <c r="G149" s="29">
        <v>927.4</v>
      </c>
      <c r="H149" s="29" t="s">
        <v>16</v>
      </c>
      <c r="I149" s="31" t="str">
        <f t="shared" si="2"/>
        <v>Mar</v>
      </c>
    </row>
    <row r="150" spans="1:9" x14ac:dyDescent="0.25">
      <c r="A150" s="24">
        <v>11024</v>
      </c>
      <c r="B150" s="25" t="s">
        <v>87</v>
      </c>
      <c r="C150" s="26">
        <v>43205</v>
      </c>
      <c r="D150" s="26">
        <v>43233</v>
      </c>
      <c r="E150" s="26">
        <v>43210</v>
      </c>
      <c r="F150" s="25" t="s">
        <v>645</v>
      </c>
      <c r="G150" s="25">
        <v>371.8</v>
      </c>
      <c r="H150" s="25" t="s">
        <v>16</v>
      </c>
      <c r="I150" s="27" t="str">
        <f t="shared" si="2"/>
        <v>Apr</v>
      </c>
    </row>
    <row r="151" spans="1:9" x14ac:dyDescent="0.25">
      <c r="A151" s="28">
        <v>11047</v>
      </c>
      <c r="B151" s="29" t="s">
        <v>87</v>
      </c>
      <c r="C151" s="30">
        <v>43214</v>
      </c>
      <c r="D151" s="30">
        <v>43242</v>
      </c>
      <c r="E151" s="30">
        <v>43221</v>
      </c>
      <c r="F151" s="29" t="s">
        <v>647</v>
      </c>
      <c r="G151" s="29">
        <v>233.1</v>
      </c>
      <c r="H151" s="29" t="s">
        <v>16</v>
      </c>
      <c r="I151" s="31" t="str">
        <f t="shared" si="2"/>
        <v>Apr</v>
      </c>
    </row>
    <row r="152" spans="1:9" x14ac:dyDescent="0.25">
      <c r="A152" s="24">
        <v>11056</v>
      </c>
      <c r="B152" s="25" t="s">
        <v>87</v>
      </c>
      <c r="C152" s="26">
        <v>43218</v>
      </c>
      <c r="D152" s="26">
        <v>43232</v>
      </c>
      <c r="E152" s="26">
        <v>43221</v>
      </c>
      <c r="F152" s="25" t="s">
        <v>646</v>
      </c>
      <c r="G152" s="25">
        <v>1394.8</v>
      </c>
      <c r="H152" s="25" t="s">
        <v>16</v>
      </c>
      <c r="I152" s="27" t="str">
        <f t="shared" si="2"/>
        <v>Apr</v>
      </c>
    </row>
    <row r="153" spans="1:9" x14ac:dyDescent="0.25">
      <c r="A153" s="28">
        <v>10258</v>
      </c>
      <c r="B153" s="29" t="s">
        <v>90</v>
      </c>
      <c r="C153" s="30">
        <v>42568</v>
      </c>
      <c r="D153" s="30">
        <v>42596</v>
      </c>
      <c r="E153" s="30">
        <v>42574</v>
      </c>
      <c r="F153" s="29" t="s">
        <v>645</v>
      </c>
      <c r="G153" s="29">
        <v>702.55</v>
      </c>
      <c r="H153" s="29" t="s">
        <v>15</v>
      </c>
      <c r="I153" s="31" t="str">
        <f t="shared" si="2"/>
        <v>Jul</v>
      </c>
    </row>
    <row r="154" spans="1:9" x14ac:dyDescent="0.25">
      <c r="A154" s="24">
        <v>10263</v>
      </c>
      <c r="B154" s="25" t="s">
        <v>90</v>
      </c>
      <c r="C154" s="26">
        <v>42574</v>
      </c>
      <c r="D154" s="26">
        <v>42602</v>
      </c>
      <c r="E154" s="26">
        <v>42582</v>
      </c>
      <c r="F154" s="25" t="s">
        <v>647</v>
      </c>
      <c r="G154" s="25">
        <v>730.3</v>
      </c>
      <c r="H154" s="25" t="s">
        <v>15</v>
      </c>
      <c r="I154" s="27" t="str">
        <f t="shared" si="2"/>
        <v>Jul</v>
      </c>
    </row>
    <row r="155" spans="1:9" x14ac:dyDescent="0.25">
      <c r="A155" s="28">
        <v>10351</v>
      </c>
      <c r="B155" s="29" t="s">
        <v>90</v>
      </c>
      <c r="C155" s="30">
        <v>42685</v>
      </c>
      <c r="D155" s="30">
        <v>42713</v>
      </c>
      <c r="E155" s="30">
        <v>42694</v>
      </c>
      <c r="F155" s="29" t="s">
        <v>645</v>
      </c>
      <c r="G155" s="29">
        <v>811.65000000000009</v>
      </c>
      <c r="H155" s="29" t="s">
        <v>15</v>
      </c>
      <c r="I155" s="31" t="str">
        <f t="shared" si="2"/>
        <v>Nov</v>
      </c>
    </row>
    <row r="156" spans="1:9" x14ac:dyDescent="0.25">
      <c r="A156" s="24">
        <v>10368</v>
      </c>
      <c r="B156" s="25" t="s">
        <v>90</v>
      </c>
      <c r="C156" s="26">
        <v>42703</v>
      </c>
      <c r="D156" s="26">
        <v>42731</v>
      </c>
      <c r="E156" s="26">
        <v>42706</v>
      </c>
      <c r="F156" s="25" t="s">
        <v>646</v>
      </c>
      <c r="G156" s="25">
        <v>509.75</v>
      </c>
      <c r="H156" s="25" t="s">
        <v>15</v>
      </c>
      <c r="I156" s="27" t="str">
        <f t="shared" si="2"/>
        <v>Nov</v>
      </c>
    </row>
    <row r="157" spans="1:9" x14ac:dyDescent="0.25">
      <c r="A157" s="28">
        <v>10382</v>
      </c>
      <c r="B157" s="29" t="s">
        <v>90</v>
      </c>
      <c r="C157" s="30">
        <v>42717</v>
      </c>
      <c r="D157" s="30">
        <v>42745</v>
      </c>
      <c r="E157" s="30">
        <v>42720</v>
      </c>
      <c r="F157" s="29" t="s">
        <v>645</v>
      </c>
      <c r="G157" s="29">
        <v>473.84999999999997</v>
      </c>
      <c r="H157" s="29" t="s">
        <v>15</v>
      </c>
      <c r="I157" s="31" t="str">
        <f t="shared" si="2"/>
        <v>Dec</v>
      </c>
    </row>
    <row r="158" spans="1:9" x14ac:dyDescent="0.25">
      <c r="A158" s="24">
        <v>10390</v>
      </c>
      <c r="B158" s="25" t="s">
        <v>90</v>
      </c>
      <c r="C158" s="26">
        <v>42727</v>
      </c>
      <c r="D158" s="26">
        <v>42755</v>
      </c>
      <c r="E158" s="26">
        <v>42730</v>
      </c>
      <c r="F158" s="25" t="s">
        <v>645</v>
      </c>
      <c r="G158" s="25">
        <v>631.9</v>
      </c>
      <c r="H158" s="25" t="s">
        <v>15</v>
      </c>
      <c r="I158" s="27" t="str">
        <f t="shared" si="2"/>
        <v>Dec</v>
      </c>
    </row>
    <row r="159" spans="1:9" x14ac:dyDescent="0.25">
      <c r="A159" s="28">
        <v>10402</v>
      </c>
      <c r="B159" s="29" t="s">
        <v>90</v>
      </c>
      <c r="C159" s="30">
        <v>42737</v>
      </c>
      <c r="D159" s="30">
        <v>42779</v>
      </c>
      <c r="E159" s="30">
        <v>42745</v>
      </c>
      <c r="F159" s="29" t="s">
        <v>646</v>
      </c>
      <c r="G159" s="29">
        <v>339.4</v>
      </c>
      <c r="H159" s="29" t="s">
        <v>15</v>
      </c>
      <c r="I159" s="31" t="str">
        <f t="shared" si="2"/>
        <v>Jan</v>
      </c>
    </row>
    <row r="160" spans="1:9" x14ac:dyDescent="0.25">
      <c r="A160" s="24">
        <v>10403</v>
      </c>
      <c r="B160" s="25" t="s">
        <v>90</v>
      </c>
      <c r="C160" s="26">
        <v>42738</v>
      </c>
      <c r="D160" s="26">
        <v>42766</v>
      </c>
      <c r="E160" s="26">
        <v>42744</v>
      </c>
      <c r="F160" s="25" t="s">
        <v>647</v>
      </c>
      <c r="G160" s="25">
        <v>368.95000000000005</v>
      </c>
      <c r="H160" s="25" t="s">
        <v>15</v>
      </c>
      <c r="I160" s="27" t="str">
        <f t="shared" si="2"/>
        <v>Jan</v>
      </c>
    </row>
    <row r="161" spans="1:9" x14ac:dyDescent="0.25">
      <c r="A161" s="28">
        <v>10430</v>
      </c>
      <c r="B161" s="29" t="s">
        <v>90</v>
      </c>
      <c r="C161" s="30">
        <v>42765</v>
      </c>
      <c r="D161" s="30">
        <v>42779</v>
      </c>
      <c r="E161" s="30">
        <v>42769</v>
      </c>
      <c r="F161" s="29" t="s">
        <v>645</v>
      </c>
      <c r="G161" s="29">
        <v>2293.8999999999996</v>
      </c>
      <c r="H161" s="29" t="s">
        <v>15</v>
      </c>
      <c r="I161" s="31" t="str">
        <f t="shared" si="2"/>
        <v>Jan</v>
      </c>
    </row>
    <row r="162" spans="1:9" x14ac:dyDescent="0.25">
      <c r="A162" s="24">
        <v>10442</v>
      </c>
      <c r="B162" s="25" t="s">
        <v>90</v>
      </c>
      <c r="C162" s="26">
        <v>42777</v>
      </c>
      <c r="D162" s="26">
        <v>42805</v>
      </c>
      <c r="E162" s="26">
        <v>42784</v>
      </c>
      <c r="F162" s="25" t="s">
        <v>646</v>
      </c>
      <c r="G162" s="25">
        <v>239.7</v>
      </c>
      <c r="H162" s="25" t="s">
        <v>15</v>
      </c>
      <c r="I162" s="27" t="str">
        <f t="shared" si="2"/>
        <v>Feb</v>
      </c>
    </row>
    <row r="163" spans="1:9" x14ac:dyDescent="0.25">
      <c r="A163" s="28">
        <v>10514</v>
      </c>
      <c r="B163" s="29" t="s">
        <v>90</v>
      </c>
      <c r="C163" s="30">
        <v>42847</v>
      </c>
      <c r="D163" s="30">
        <v>42875</v>
      </c>
      <c r="E163" s="30">
        <v>42871</v>
      </c>
      <c r="F163" s="29" t="s">
        <v>646</v>
      </c>
      <c r="G163" s="29">
        <v>3949.75</v>
      </c>
      <c r="H163" s="29" t="s">
        <v>15</v>
      </c>
      <c r="I163" s="31" t="str">
        <f t="shared" si="2"/>
        <v>Apr</v>
      </c>
    </row>
    <row r="164" spans="1:9" x14ac:dyDescent="0.25">
      <c r="A164" s="24">
        <v>10571</v>
      </c>
      <c r="B164" s="25" t="s">
        <v>90</v>
      </c>
      <c r="C164" s="26">
        <v>42903</v>
      </c>
      <c r="D164" s="26">
        <v>42945</v>
      </c>
      <c r="E164" s="26">
        <v>42920</v>
      </c>
      <c r="F164" s="25" t="s">
        <v>647</v>
      </c>
      <c r="G164" s="25">
        <v>130.29999999999998</v>
      </c>
      <c r="H164" s="25" t="s">
        <v>15</v>
      </c>
      <c r="I164" s="27" t="str">
        <f t="shared" si="2"/>
        <v>Jun</v>
      </c>
    </row>
    <row r="165" spans="1:9" x14ac:dyDescent="0.25">
      <c r="A165" s="28">
        <v>10595</v>
      </c>
      <c r="B165" s="29" t="s">
        <v>90</v>
      </c>
      <c r="C165" s="30">
        <v>42926</v>
      </c>
      <c r="D165" s="30">
        <v>42954</v>
      </c>
      <c r="E165" s="30">
        <v>42930</v>
      </c>
      <c r="F165" s="29" t="s">
        <v>645</v>
      </c>
      <c r="G165" s="29">
        <v>483.9</v>
      </c>
      <c r="H165" s="29" t="s">
        <v>15</v>
      </c>
      <c r="I165" s="31" t="str">
        <f t="shared" si="2"/>
        <v>Jul</v>
      </c>
    </row>
    <row r="166" spans="1:9" x14ac:dyDescent="0.25">
      <c r="A166" s="24">
        <v>10633</v>
      </c>
      <c r="B166" s="25" t="s">
        <v>90</v>
      </c>
      <c r="C166" s="26">
        <v>42962</v>
      </c>
      <c r="D166" s="26">
        <v>42990</v>
      </c>
      <c r="E166" s="26">
        <v>42965</v>
      </c>
      <c r="F166" s="25" t="s">
        <v>647</v>
      </c>
      <c r="G166" s="25">
        <v>2389.5</v>
      </c>
      <c r="H166" s="25" t="s">
        <v>15</v>
      </c>
      <c r="I166" s="27" t="str">
        <f t="shared" si="2"/>
        <v>Aug</v>
      </c>
    </row>
    <row r="167" spans="1:9" x14ac:dyDescent="0.25">
      <c r="A167" s="28">
        <v>10667</v>
      </c>
      <c r="B167" s="29" t="s">
        <v>90</v>
      </c>
      <c r="C167" s="30">
        <v>42990</v>
      </c>
      <c r="D167" s="30">
        <v>43018</v>
      </c>
      <c r="E167" s="30">
        <v>42997</v>
      </c>
      <c r="F167" s="29" t="s">
        <v>645</v>
      </c>
      <c r="G167" s="29">
        <v>390.45000000000005</v>
      </c>
      <c r="H167" s="29" t="s">
        <v>15</v>
      </c>
      <c r="I167" s="31" t="str">
        <f t="shared" si="2"/>
        <v>Sep</v>
      </c>
    </row>
    <row r="168" spans="1:9" x14ac:dyDescent="0.25">
      <c r="A168" s="24">
        <v>10698</v>
      </c>
      <c r="B168" s="25" t="s">
        <v>90</v>
      </c>
      <c r="C168" s="26">
        <v>43017</v>
      </c>
      <c r="D168" s="26">
        <v>43045</v>
      </c>
      <c r="E168" s="26">
        <v>43025</v>
      </c>
      <c r="F168" s="25" t="s">
        <v>645</v>
      </c>
      <c r="G168" s="25">
        <v>1362.3500000000001</v>
      </c>
      <c r="H168" s="25" t="s">
        <v>15</v>
      </c>
      <c r="I168" s="27" t="str">
        <f t="shared" si="2"/>
        <v>Oct</v>
      </c>
    </row>
    <row r="169" spans="1:9" x14ac:dyDescent="0.25">
      <c r="A169" s="28">
        <v>10764</v>
      </c>
      <c r="B169" s="29" t="s">
        <v>90</v>
      </c>
      <c r="C169" s="30">
        <v>43072</v>
      </c>
      <c r="D169" s="30">
        <v>43100</v>
      </c>
      <c r="E169" s="30">
        <v>43077</v>
      </c>
      <c r="F169" s="29" t="s">
        <v>647</v>
      </c>
      <c r="G169" s="29">
        <v>727.25</v>
      </c>
      <c r="H169" s="29" t="s">
        <v>15</v>
      </c>
      <c r="I169" s="31" t="str">
        <f t="shared" si="2"/>
        <v>Dec</v>
      </c>
    </row>
    <row r="170" spans="1:9" x14ac:dyDescent="0.25">
      <c r="A170" s="24">
        <v>10771</v>
      </c>
      <c r="B170" s="25" t="s">
        <v>90</v>
      </c>
      <c r="C170" s="26">
        <v>43079</v>
      </c>
      <c r="D170" s="26">
        <v>43107</v>
      </c>
      <c r="E170" s="26">
        <v>43102</v>
      </c>
      <c r="F170" s="25" t="s">
        <v>646</v>
      </c>
      <c r="G170" s="25">
        <v>55.949999999999996</v>
      </c>
      <c r="H170" s="25" t="s">
        <v>15</v>
      </c>
      <c r="I170" s="27" t="str">
        <f t="shared" si="2"/>
        <v>Dec</v>
      </c>
    </row>
    <row r="171" spans="1:9" x14ac:dyDescent="0.25">
      <c r="A171" s="28">
        <v>10773</v>
      </c>
      <c r="B171" s="29" t="s">
        <v>90</v>
      </c>
      <c r="C171" s="30">
        <v>43080</v>
      </c>
      <c r="D171" s="30">
        <v>43108</v>
      </c>
      <c r="E171" s="30">
        <v>43085</v>
      </c>
      <c r="F171" s="29" t="s">
        <v>647</v>
      </c>
      <c r="G171" s="29">
        <v>482.15000000000003</v>
      </c>
      <c r="H171" s="29" t="s">
        <v>15</v>
      </c>
      <c r="I171" s="31" t="str">
        <f t="shared" si="2"/>
        <v>Dec</v>
      </c>
    </row>
    <row r="172" spans="1:9" x14ac:dyDescent="0.25">
      <c r="A172" s="24">
        <v>10776</v>
      </c>
      <c r="B172" s="25" t="s">
        <v>90</v>
      </c>
      <c r="C172" s="26">
        <v>43084</v>
      </c>
      <c r="D172" s="26">
        <v>43112</v>
      </c>
      <c r="E172" s="26">
        <v>43087</v>
      </c>
      <c r="F172" s="25" t="s">
        <v>647</v>
      </c>
      <c r="G172" s="25">
        <v>1757.6499999999999</v>
      </c>
      <c r="H172" s="25" t="s">
        <v>15</v>
      </c>
      <c r="I172" s="27" t="str">
        <f t="shared" si="2"/>
        <v>Dec</v>
      </c>
    </row>
    <row r="173" spans="1:9" x14ac:dyDescent="0.25">
      <c r="A173" s="28">
        <v>10795</v>
      </c>
      <c r="B173" s="29" t="s">
        <v>90</v>
      </c>
      <c r="C173" s="30">
        <v>43093</v>
      </c>
      <c r="D173" s="30">
        <v>43121</v>
      </c>
      <c r="E173" s="30">
        <v>43120</v>
      </c>
      <c r="F173" s="29" t="s">
        <v>646</v>
      </c>
      <c r="G173" s="29">
        <v>633.29999999999995</v>
      </c>
      <c r="H173" s="29" t="s">
        <v>15</v>
      </c>
      <c r="I173" s="31" t="str">
        <f t="shared" si="2"/>
        <v>Dec</v>
      </c>
    </row>
    <row r="174" spans="1:9" x14ac:dyDescent="0.25">
      <c r="A174" s="24">
        <v>10836</v>
      </c>
      <c r="B174" s="25" t="s">
        <v>90</v>
      </c>
      <c r="C174" s="26">
        <v>43116</v>
      </c>
      <c r="D174" s="26">
        <v>43144</v>
      </c>
      <c r="E174" s="26">
        <v>43121</v>
      </c>
      <c r="F174" s="25" t="s">
        <v>645</v>
      </c>
      <c r="G174" s="25">
        <v>2059.4</v>
      </c>
      <c r="H174" s="25" t="s">
        <v>15</v>
      </c>
      <c r="I174" s="27" t="str">
        <f t="shared" si="2"/>
        <v>Jan</v>
      </c>
    </row>
    <row r="175" spans="1:9" x14ac:dyDescent="0.25">
      <c r="A175" s="28">
        <v>10854</v>
      </c>
      <c r="B175" s="29" t="s">
        <v>90</v>
      </c>
      <c r="C175" s="30">
        <v>43127</v>
      </c>
      <c r="D175" s="30">
        <v>43155</v>
      </c>
      <c r="E175" s="30">
        <v>43136</v>
      </c>
      <c r="F175" s="29" t="s">
        <v>646</v>
      </c>
      <c r="G175" s="29">
        <v>501.1</v>
      </c>
      <c r="H175" s="29" t="s">
        <v>15</v>
      </c>
      <c r="I175" s="31" t="str">
        <f t="shared" si="2"/>
        <v>Jan</v>
      </c>
    </row>
    <row r="176" spans="1:9" x14ac:dyDescent="0.25">
      <c r="A176" s="24">
        <v>10895</v>
      </c>
      <c r="B176" s="25" t="s">
        <v>90</v>
      </c>
      <c r="C176" s="26">
        <v>43149</v>
      </c>
      <c r="D176" s="26">
        <v>43177</v>
      </c>
      <c r="E176" s="26">
        <v>43154</v>
      </c>
      <c r="F176" s="25" t="s">
        <v>645</v>
      </c>
      <c r="G176" s="25">
        <v>813.75</v>
      </c>
      <c r="H176" s="25" t="s">
        <v>15</v>
      </c>
      <c r="I176" s="27" t="str">
        <f t="shared" si="2"/>
        <v>Feb</v>
      </c>
    </row>
    <row r="177" spans="1:9" x14ac:dyDescent="0.25">
      <c r="A177" s="28">
        <v>10968</v>
      </c>
      <c r="B177" s="29" t="s">
        <v>90</v>
      </c>
      <c r="C177" s="30">
        <v>43182</v>
      </c>
      <c r="D177" s="30">
        <v>43210</v>
      </c>
      <c r="E177" s="30">
        <v>43191</v>
      </c>
      <c r="F177" s="29" t="s">
        <v>647</v>
      </c>
      <c r="G177" s="29">
        <v>373</v>
      </c>
      <c r="H177" s="29" t="s">
        <v>15</v>
      </c>
      <c r="I177" s="31" t="str">
        <f t="shared" si="2"/>
        <v>Mar</v>
      </c>
    </row>
    <row r="178" spans="1:9" x14ac:dyDescent="0.25">
      <c r="A178" s="24">
        <v>10979</v>
      </c>
      <c r="B178" s="25" t="s">
        <v>90</v>
      </c>
      <c r="C178" s="26">
        <v>43185</v>
      </c>
      <c r="D178" s="26">
        <v>43213</v>
      </c>
      <c r="E178" s="26">
        <v>43190</v>
      </c>
      <c r="F178" s="25" t="s">
        <v>646</v>
      </c>
      <c r="G178" s="25">
        <v>1765.35</v>
      </c>
      <c r="H178" s="25" t="s">
        <v>15</v>
      </c>
      <c r="I178" s="27" t="str">
        <f t="shared" si="2"/>
        <v>Mar</v>
      </c>
    </row>
    <row r="179" spans="1:9" x14ac:dyDescent="0.25">
      <c r="A179" s="28">
        <v>10990</v>
      </c>
      <c r="B179" s="29" t="s">
        <v>90</v>
      </c>
      <c r="C179" s="30">
        <v>43191</v>
      </c>
      <c r="D179" s="30">
        <v>43233</v>
      </c>
      <c r="E179" s="30">
        <v>43197</v>
      </c>
      <c r="F179" s="29" t="s">
        <v>647</v>
      </c>
      <c r="G179" s="29">
        <v>588.04999999999995</v>
      </c>
      <c r="H179" s="29" t="s">
        <v>15</v>
      </c>
      <c r="I179" s="31" t="str">
        <f t="shared" si="2"/>
        <v>Apr</v>
      </c>
    </row>
    <row r="180" spans="1:9" x14ac:dyDescent="0.25">
      <c r="A180" s="24">
        <v>11008</v>
      </c>
      <c r="B180" s="25" t="s">
        <v>90</v>
      </c>
      <c r="C180" s="26">
        <v>43198</v>
      </c>
      <c r="D180" s="26">
        <v>43226</v>
      </c>
      <c r="E180" s="26"/>
      <c r="F180" s="25" t="s">
        <v>647</v>
      </c>
      <c r="G180" s="25">
        <v>397.29999999999995</v>
      </c>
      <c r="H180" s="25" t="s">
        <v>15</v>
      </c>
      <c r="I180" s="27" t="str">
        <f t="shared" si="2"/>
        <v>Apr</v>
      </c>
    </row>
    <row r="181" spans="1:9" x14ac:dyDescent="0.25">
      <c r="A181" s="28">
        <v>11017</v>
      </c>
      <c r="B181" s="29" t="s">
        <v>90</v>
      </c>
      <c r="C181" s="30">
        <v>43203</v>
      </c>
      <c r="D181" s="30">
        <v>43231</v>
      </c>
      <c r="E181" s="30">
        <v>43210</v>
      </c>
      <c r="F181" s="29" t="s">
        <v>646</v>
      </c>
      <c r="G181" s="29">
        <v>3771.3</v>
      </c>
      <c r="H181" s="29" t="s">
        <v>15</v>
      </c>
      <c r="I181" s="31" t="str">
        <f t="shared" si="2"/>
        <v>Apr</v>
      </c>
    </row>
    <row r="182" spans="1:9" x14ac:dyDescent="0.25">
      <c r="A182" s="24">
        <v>11072</v>
      </c>
      <c r="B182" s="25" t="s">
        <v>90</v>
      </c>
      <c r="C182" s="26">
        <v>43225</v>
      </c>
      <c r="D182" s="26">
        <v>43253</v>
      </c>
      <c r="E182" s="26"/>
      <c r="F182" s="25" t="s">
        <v>646</v>
      </c>
      <c r="G182" s="25">
        <v>1293.1999999999998</v>
      </c>
      <c r="H182" s="25" t="s">
        <v>15</v>
      </c>
      <c r="I182" s="27" t="str">
        <f t="shared" si="2"/>
        <v>May</v>
      </c>
    </row>
    <row r="183" spans="1:9" x14ac:dyDescent="0.25">
      <c r="A183" s="28">
        <v>10347</v>
      </c>
      <c r="B183" s="29" t="s">
        <v>94</v>
      </c>
      <c r="C183" s="30">
        <v>42680</v>
      </c>
      <c r="D183" s="30">
        <v>42708</v>
      </c>
      <c r="E183" s="30">
        <v>42682</v>
      </c>
      <c r="F183" s="29" t="s">
        <v>647</v>
      </c>
      <c r="G183" s="29">
        <v>15.5</v>
      </c>
      <c r="H183" s="29" t="s">
        <v>333</v>
      </c>
      <c r="I183" s="31" t="str">
        <f t="shared" si="2"/>
        <v>Nov</v>
      </c>
    </row>
    <row r="184" spans="1:9" x14ac:dyDescent="0.25">
      <c r="A184" s="24">
        <v>10386</v>
      </c>
      <c r="B184" s="25" t="s">
        <v>94</v>
      </c>
      <c r="C184" s="26">
        <v>42722</v>
      </c>
      <c r="D184" s="26">
        <v>42736</v>
      </c>
      <c r="E184" s="26">
        <v>42729</v>
      </c>
      <c r="F184" s="25" t="s">
        <v>647</v>
      </c>
      <c r="G184" s="25">
        <v>69.95</v>
      </c>
      <c r="H184" s="25" t="s">
        <v>333</v>
      </c>
      <c r="I184" s="27" t="str">
        <f t="shared" si="2"/>
        <v>Dec</v>
      </c>
    </row>
    <row r="185" spans="1:9" x14ac:dyDescent="0.25">
      <c r="A185" s="28">
        <v>10414</v>
      </c>
      <c r="B185" s="29" t="s">
        <v>94</v>
      </c>
      <c r="C185" s="30">
        <v>42749</v>
      </c>
      <c r="D185" s="30">
        <v>42777</v>
      </c>
      <c r="E185" s="30">
        <v>42752</v>
      </c>
      <c r="F185" s="29" t="s">
        <v>647</v>
      </c>
      <c r="G185" s="29">
        <v>107.4</v>
      </c>
      <c r="H185" s="29" t="s">
        <v>333</v>
      </c>
      <c r="I185" s="31" t="str">
        <f t="shared" si="2"/>
        <v>Jan</v>
      </c>
    </row>
    <row r="186" spans="1:9" x14ac:dyDescent="0.25">
      <c r="A186" s="24">
        <v>10512</v>
      </c>
      <c r="B186" s="25" t="s">
        <v>94</v>
      </c>
      <c r="C186" s="26">
        <v>42846</v>
      </c>
      <c r="D186" s="26">
        <v>42874</v>
      </c>
      <c r="E186" s="26">
        <v>42849</v>
      </c>
      <c r="F186" s="25" t="s">
        <v>646</v>
      </c>
      <c r="G186" s="25">
        <v>17.649999999999999</v>
      </c>
      <c r="H186" s="25" t="s">
        <v>333</v>
      </c>
      <c r="I186" s="27" t="str">
        <f t="shared" si="2"/>
        <v>Apr</v>
      </c>
    </row>
    <row r="187" spans="1:9" x14ac:dyDescent="0.25">
      <c r="A187" s="28">
        <v>10581</v>
      </c>
      <c r="B187" s="29" t="s">
        <v>94</v>
      </c>
      <c r="C187" s="30">
        <v>42912</v>
      </c>
      <c r="D187" s="30">
        <v>42940</v>
      </c>
      <c r="E187" s="30">
        <v>42918</v>
      </c>
      <c r="F187" s="29" t="s">
        <v>645</v>
      </c>
      <c r="G187" s="29">
        <v>15.049999999999999</v>
      </c>
      <c r="H187" s="29" t="s">
        <v>333</v>
      </c>
      <c r="I187" s="31" t="str">
        <f t="shared" si="2"/>
        <v>Jun</v>
      </c>
    </row>
    <row r="188" spans="1:9" x14ac:dyDescent="0.25">
      <c r="A188" s="24">
        <v>10650</v>
      </c>
      <c r="B188" s="25" t="s">
        <v>94</v>
      </c>
      <c r="C188" s="26">
        <v>42976</v>
      </c>
      <c r="D188" s="26">
        <v>43004</v>
      </c>
      <c r="E188" s="26">
        <v>42981</v>
      </c>
      <c r="F188" s="25" t="s">
        <v>647</v>
      </c>
      <c r="G188" s="25">
        <v>884.05</v>
      </c>
      <c r="H188" s="25" t="s">
        <v>333</v>
      </c>
      <c r="I188" s="27" t="str">
        <f t="shared" si="2"/>
        <v>Aug</v>
      </c>
    </row>
    <row r="189" spans="1:9" x14ac:dyDescent="0.25">
      <c r="A189" s="28">
        <v>10725</v>
      </c>
      <c r="B189" s="29" t="s">
        <v>94</v>
      </c>
      <c r="C189" s="30">
        <v>43039</v>
      </c>
      <c r="D189" s="30">
        <v>43067</v>
      </c>
      <c r="E189" s="30">
        <v>43044</v>
      </c>
      <c r="F189" s="29" t="s">
        <v>647</v>
      </c>
      <c r="G189" s="29">
        <v>54.15</v>
      </c>
      <c r="H189" s="29" t="s">
        <v>333</v>
      </c>
      <c r="I189" s="31" t="str">
        <f t="shared" si="2"/>
        <v>Oct</v>
      </c>
    </row>
    <row r="190" spans="1:9" x14ac:dyDescent="0.25">
      <c r="A190" s="24">
        <v>10408</v>
      </c>
      <c r="B190" s="25" t="s">
        <v>99</v>
      </c>
      <c r="C190" s="26">
        <v>42743</v>
      </c>
      <c r="D190" s="26">
        <v>42771</v>
      </c>
      <c r="E190" s="26">
        <v>42749</v>
      </c>
      <c r="F190" s="25" t="s">
        <v>645</v>
      </c>
      <c r="G190" s="25">
        <v>56.3</v>
      </c>
      <c r="H190" s="25" t="s">
        <v>335</v>
      </c>
      <c r="I190" s="27" t="str">
        <f t="shared" si="2"/>
        <v>Jan</v>
      </c>
    </row>
    <row r="191" spans="1:9" x14ac:dyDescent="0.25">
      <c r="A191" s="28">
        <v>10480</v>
      </c>
      <c r="B191" s="29" t="s">
        <v>99</v>
      </c>
      <c r="C191" s="30">
        <v>42814</v>
      </c>
      <c r="D191" s="30">
        <v>42842</v>
      </c>
      <c r="E191" s="30">
        <v>42818</v>
      </c>
      <c r="F191" s="29" t="s">
        <v>646</v>
      </c>
      <c r="G191" s="29">
        <v>6.75</v>
      </c>
      <c r="H191" s="29" t="s">
        <v>335</v>
      </c>
      <c r="I191" s="31" t="str">
        <f t="shared" si="2"/>
        <v>Mar</v>
      </c>
    </row>
    <row r="192" spans="1:9" x14ac:dyDescent="0.25">
      <c r="A192" s="24">
        <v>10634</v>
      </c>
      <c r="B192" s="25" t="s">
        <v>99</v>
      </c>
      <c r="C192" s="26">
        <v>42962</v>
      </c>
      <c r="D192" s="26">
        <v>42990</v>
      </c>
      <c r="E192" s="26">
        <v>42968</v>
      </c>
      <c r="F192" s="25" t="s">
        <v>647</v>
      </c>
      <c r="G192" s="25">
        <v>2436.9</v>
      </c>
      <c r="H192" s="25" t="s">
        <v>335</v>
      </c>
      <c r="I192" s="27" t="str">
        <f t="shared" si="2"/>
        <v>Aug</v>
      </c>
    </row>
    <row r="193" spans="1:9" x14ac:dyDescent="0.25">
      <c r="A193" s="28">
        <v>10763</v>
      </c>
      <c r="B193" s="29" t="s">
        <v>99</v>
      </c>
      <c r="C193" s="30">
        <v>43072</v>
      </c>
      <c r="D193" s="30">
        <v>43100</v>
      </c>
      <c r="E193" s="30">
        <v>43077</v>
      </c>
      <c r="F193" s="29" t="s">
        <v>647</v>
      </c>
      <c r="G193" s="29">
        <v>186.75</v>
      </c>
      <c r="H193" s="29" t="s">
        <v>335</v>
      </c>
      <c r="I193" s="31" t="str">
        <f t="shared" si="2"/>
        <v>Dec</v>
      </c>
    </row>
    <row r="194" spans="1:9" x14ac:dyDescent="0.25">
      <c r="A194" s="24">
        <v>10789</v>
      </c>
      <c r="B194" s="25" t="s">
        <v>99</v>
      </c>
      <c r="C194" s="26">
        <v>43091</v>
      </c>
      <c r="D194" s="26">
        <v>43119</v>
      </c>
      <c r="E194" s="26">
        <v>43100</v>
      </c>
      <c r="F194" s="25" t="s">
        <v>646</v>
      </c>
      <c r="G194" s="25">
        <v>503</v>
      </c>
      <c r="H194" s="25" t="s">
        <v>335</v>
      </c>
      <c r="I194" s="27" t="str">
        <f t="shared" si="2"/>
        <v>Dec</v>
      </c>
    </row>
    <row r="195" spans="1:9" x14ac:dyDescent="0.25">
      <c r="A195" s="28">
        <v>10264</v>
      </c>
      <c r="B195" s="29" t="s">
        <v>103</v>
      </c>
      <c r="C195" s="30">
        <v>42575</v>
      </c>
      <c r="D195" s="30">
        <v>42603</v>
      </c>
      <c r="E195" s="30">
        <v>42605</v>
      </c>
      <c r="F195" s="29" t="s">
        <v>647</v>
      </c>
      <c r="G195" s="29">
        <v>18.350000000000001</v>
      </c>
      <c r="H195" s="29" t="s">
        <v>336</v>
      </c>
      <c r="I195" s="31" t="str">
        <f t="shared" ref="I195:I258" si="3">TEXT(C195,"mmm")</f>
        <v>Jul</v>
      </c>
    </row>
    <row r="196" spans="1:9" x14ac:dyDescent="0.25">
      <c r="A196" s="24">
        <v>10327</v>
      </c>
      <c r="B196" s="25" t="s">
        <v>103</v>
      </c>
      <c r="C196" s="26">
        <v>42654</v>
      </c>
      <c r="D196" s="26">
        <v>42682</v>
      </c>
      <c r="E196" s="26">
        <v>42657</v>
      </c>
      <c r="F196" s="25" t="s">
        <v>645</v>
      </c>
      <c r="G196" s="25">
        <v>316.8</v>
      </c>
      <c r="H196" s="25" t="s">
        <v>336</v>
      </c>
      <c r="I196" s="27" t="str">
        <f t="shared" si="3"/>
        <v>Oct</v>
      </c>
    </row>
    <row r="197" spans="1:9" x14ac:dyDescent="0.25">
      <c r="A197" s="28">
        <v>10378</v>
      </c>
      <c r="B197" s="29" t="s">
        <v>103</v>
      </c>
      <c r="C197" s="30">
        <v>42714</v>
      </c>
      <c r="D197" s="30">
        <v>42742</v>
      </c>
      <c r="E197" s="30">
        <v>42723</v>
      </c>
      <c r="F197" s="29" t="s">
        <v>647</v>
      </c>
      <c r="G197" s="29">
        <v>27.200000000000003</v>
      </c>
      <c r="H197" s="29" t="s">
        <v>336</v>
      </c>
      <c r="I197" s="31" t="str">
        <f t="shared" si="3"/>
        <v>Dec</v>
      </c>
    </row>
    <row r="198" spans="1:9" x14ac:dyDescent="0.25">
      <c r="A198" s="24">
        <v>10434</v>
      </c>
      <c r="B198" s="25" t="s">
        <v>103</v>
      </c>
      <c r="C198" s="26">
        <v>42769</v>
      </c>
      <c r="D198" s="26">
        <v>42797</v>
      </c>
      <c r="E198" s="26">
        <v>42779</v>
      </c>
      <c r="F198" s="25" t="s">
        <v>646</v>
      </c>
      <c r="G198" s="25">
        <v>89.600000000000009</v>
      </c>
      <c r="H198" s="25" t="s">
        <v>336</v>
      </c>
      <c r="I198" s="27" t="str">
        <f t="shared" si="3"/>
        <v>Feb</v>
      </c>
    </row>
    <row r="199" spans="1:9" x14ac:dyDescent="0.25">
      <c r="A199" s="28">
        <v>10460</v>
      </c>
      <c r="B199" s="29" t="s">
        <v>103</v>
      </c>
      <c r="C199" s="30">
        <v>42794</v>
      </c>
      <c r="D199" s="30">
        <v>42822</v>
      </c>
      <c r="E199" s="30">
        <v>42797</v>
      </c>
      <c r="F199" s="29" t="s">
        <v>645</v>
      </c>
      <c r="G199" s="29">
        <v>81.349999999999994</v>
      </c>
      <c r="H199" s="29" t="s">
        <v>336</v>
      </c>
      <c r="I199" s="31" t="str">
        <f t="shared" si="3"/>
        <v>Feb</v>
      </c>
    </row>
    <row r="200" spans="1:9" x14ac:dyDescent="0.25">
      <c r="A200" s="24">
        <v>10533</v>
      </c>
      <c r="B200" s="25" t="s">
        <v>103</v>
      </c>
      <c r="C200" s="26">
        <v>42867</v>
      </c>
      <c r="D200" s="26">
        <v>42895</v>
      </c>
      <c r="E200" s="26">
        <v>42877</v>
      </c>
      <c r="F200" s="25" t="s">
        <v>645</v>
      </c>
      <c r="G200" s="25">
        <v>940.19999999999993</v>
      </c>
      <c r="H200" s="25" t="s">
        <v>336</v>
      </c>
      <c r="I200" s="27" t="str">
        <f t="shared" si="3"/>
        <v>May</v>
      </c>
    </row>
    <row r="201" spans="1:9" x14ac:dyDescent="0.25">
      <c r="A201" s="28">
        <v>10561</v>
      </c>
      <c r="B201" s="29" t="s">
        <v>103</v>
      </c>
      <c r="C201" s="30">
        <v>42892</v>
      </c>
      <c r="D201" s="30">
        <v>42920</v>
      </c>
      <c r="E201" s="30">
        <v>42895</v>
      </c>
      <c r="F201" s="29" t="s">
        <v>646</v>
      </c>
      <c r="G201" s="29">
        <v>1211.05</v>
      </c>
      <c r="H201" s="29" t="s">
        <v>336</v>
      </c>
      <c r="I201" s="31" t="str">
        <f t="shared" si="3"/>
        <v>Jun</v>
      </c>
    </row>
    <row r="202" spans="1:9" x14ac:dyDescent="0.25">
      <c r="A202" s="24">
        <v>10703</v>
      </c>
      <c r="B202" s="25" t="s">
        <v>103</v>
      </c>
      <c r="C202" s="26">
        <v>43022</v>
      </c>
      <c r="D202" s="26">
        <v>43050</v>
      </c>
      <c r="E202" s="26">
        <v>43028</v>
      </c>
      <c r="F202" s="25" t="s">
        <v>646</v>
      </c>
      <c r="G202" s="25">
        <v>761.5</v>
      </c>
      <c r="H202" s="25" t="s">
        <v>336</v>
      </c>
      <c r="I202" s="27" t="str">
        <f t="shared" si="3"/>
        <v>Oct</v>
      </c>
    </row>
    <row r="203" spans="1:9" x14ac:dyDescent="0.25">
      <c r="A203" s="28">
        <v>10762</v>
      </c>
      <c r="B203" s="29" t="s">
        <v>103</v>
      </c>
      <c r="C203" s="30">
        <v>43071</v>
      </c>
      <c r="D203" s="30">
        <v>43099</v>
      </c>
      <c r="E203" s="30">
        <v>43078</v>
      </c>
      <c r="F203" s="29" t="s">
        <v>645</v>
      </c>
      <c r="G203" s="29">
        <v>1643.7</v>
      </c>
      <c r="H203" s="29" t="s">
        <v>336</v>
      </c>
      <c r="I203" s="31" t="str">
        <f t="shared" si="3"/>
        <v>Dec</v>
      </c>
    </row>
    <row r="204" spans="1:9" x14ac:dyDescent="0.25">
      <c r="A204" s="24">
        <v>10774</v>
      </c>
      <c r="B204" s="25" t="s">
        <v>103</v>
      </c>
      <c r="C204" s="26">
        <v>43080</v>
      </c>
      <c r="D204" s="26">
        <v>43094</v>
      </c>
      <c r="E204" s="26">
        <v>43081</v>
      </c>
      <c r="F204" s="25" t="s">
        <v>645</v>
      </c>
      <c r="G204" s="25">
        <v>241</v>
      </c>
      <c r="H204" s="25" t="s">
        <v>336</v>
      </c>
      <c r="I204" s="27" t="str">
        <f t="shared" si="3"/>
        <v>Dec</v>
      </c>
    </row>
    <row r="205" spans="1:9" x14ac:dyDescent="0.25">
      <c r="A205" s="28">
        <v>10824</v>
      </c>
      <c r="B205" s="29" t="s">
        <v>103</v>
      </c>
      <c r="C205" s="30">
        <v>43109</v>
      </c>
      <c r="D205" s="30">
        <v>43137</v>
      </c>
      <c r="E205" s="30">
        <v>43130</v>
      </c>
      <c r="F205" s="29" t="s">
        <v>645</v>
      </c>
      <c r="G205" s="29">
        <v>6.15</v>
      </c>
      <c r="H205" s="29" t="s">
        <v>336</v>
      </c>
      <c r="I205" s="31" t="str">
        <f t="shared" si="3"/>
        <v>Jan</v>
      </c>
    </row>
    <row r="206" spans="1:9" x14ac:dyDescent="0.25">
      <c r="A206" s="24">
        <v>10880</v>
      </c>
      <c r="B206" s="25" t="s">
        <v>103</v>
      </c>
      <c r="C206" s="26">
        <v>43141</v>
      </c>
      <c r="D206" s="26">
        <v>43183</v>
      </c>
      <c r="E206" s="26">
        <v>43149</v>
      </c>
      <c r="F206" s="25" t="s">
        <v>645</v>
      </c>
      <c r="G206" s="25">
        <v>440.05</v>
      </c>
      <c r="H206" s="25" t="s">
        <v>336</v>
      </c>
      <c r="I206" s="27" t="str">
        <f t="shared" si="3"/>
        <v>Feb</v>
      </c>
    </row>
    <row r="207" spans="1:9" x14ac:dyDescent="0.25">
      <c r="A207" s="28">
        <v>10902</v>
      </c>
      <c r="B207" s="29" t="s">
        <v>103</v>
      </c>
      <c r="C207" s="30">
        <v>43154</v>
      </c>
      <c r="D207" s="30">
        <v>43182</v>
      </c>
      <c r="E207" s="30">
        <v>43162</v>
      </c>
      <c r="F207" s="29" t="s">
        <v>645</v>
      </c>
      <c r="G207" s="29">
        <v>220.75</v>
      </c>
      <c r="H207" s="29" t="s">
        <v>336</v>
      </c>
      <c r="I207" s="31" t="str">
        <f t="shared" si="3"/>
        <v>Feb</v>
      </c>
    </row>
    <row r="208" spans="1:9" x14ac:dyDescent="0.25">
      <c r="A208" s="24">
        <v>10955</v>
      </c>
      <c r="B208" s="25" t="s">
        <v>103</v>
      </c>
      <c r="C208" s="26">
        <v>43176</v>
      </c>
      <c r="D208" s="26">
        <v>43204</v>
      </c>
      <c r="E208" s="26">
        <v>43179</v>
      </c>
      <c r="F208" s="25" t="s">
        <v>646</v>
      </c>
      <c r="G208" s="25">
        <v>16.299999999999997</v>
      </c>
      <c r="H208" s="25" t="s">
        <v>336</v>
      </c>
      <c r="I208" s="27" t="str">
        <f t="shared" si="3"/>
        <v>Mar</v>
      </c>
    </row>
    <row r="209" spans="1:9" x14ac:dyDescent="0.25">
      <c r="A209" s="28">
        <v>10977</v>
      </c>
      <c r="B209" s="29" t="s">
        <v>103</v>
      </c>
      <c r="C209" s="30">
        <v>43185</v>
      </c>
      <c r="D209" s="30">
        <v>43213</v>
      </c>
      <c r="E209" s="30">
        <v>43200</v>
      </c>
      <c r="F209" s="29" t="s">
        <v>647</v>
      </c>
      <c r="G209" s="29">
        <v>1042.5</v>
      </c>
      <c r="H209" s="29" t="s">
        <v>336</v>
      </c>
      <c r="I209" s="31" t="str">
        <f t="shared" si="3"/>
        <v>Mar</v>
      </c>
    </row>
    <row r="210" spans="1:9" x14ac:dyDescent="0.25">
      <c r="A210" s="24">
        <v>10980</v>
      </c>
      <c r="B210" s="25" t="s">
        <v>103</v>
      </c>
      <c r="C210" s="26">
        <v>43186</v>
      </c>
      <c r="D210" s="26">
        <v>43228</v>
      </c>
      <c r="E210" s="26">
        <v>43207</v>
      </c>
      <c r="F210" s="25" t="s">
        <v>645</v>
      </c>
      <c r="G210" s="25">
        <v>6.3</v>
      </c>
      <c r="H210" s="25" t="s">
        <v>336</v>
      </c>
      <c r="I210" s="27" t="str">
        <f t="shared" si="3"/>
        <v>Mar</v>
      </c>
    </row>
    <row r="211" spans="1:9" x14ac:dyDescent="0.25">
      <c r="A211" s="28">
        <v>10993</v>
      </c>
      <c r="B211" s="29" t="s">
        <v>103</v>
      </c>
      <c r="C211" s="30">
        <v>43191</v>
      </c>
      <c r="D211" s="30">
        <v>43219</v>
      </c>
      <c r="E211" s="30">
        <v>43200</v>
      </c>
      <c r="F211" s="29" t="s">
        <v>647</v>
      </c>
      <c r="G211" s="29">
        <v>44.050000000000004</v>
      </c>
      <c r="H211" s="29" t="s">
        <v>336</v>
      </c>
      <c r="I211" s="31" t="str">
        <f t="shared" si="3"/>
        <v>Apr</v>
      </c>
    </row>
    <row r="212" spans="1:9" x14ac:dyDescent="0.25">
      <c r="A212" s="24">
        <v>11001</v>
      </c>
      <c r="B212" s="25" t="s">
        <v>103</v>
      </c>
      <c r="C212" s="26">
        <v>43196</v>
      </c>
      <c r="D212" s="26">
        <v>43224</v>
      </c>
      <c r="E212" s="26">
        <v>43204</v>
      </c>
      <c r="F212" s="25" t="s">
        <v>646</v>
      </c>
      <c r="G212" s="25">
        <v>986.5</v>
      </c>
      <c r="H212" s="25" t="s">
        <v>336</v>
      </c>
      <c r="I212" s="27" t="str">
        <f t="shared" si="3"/>
        <v>Apr</v>
      </c>
    </row>
    <row r="213" spans="1:9" x14ac:dyDescent="0.25">
      <c r="A213" s="28">
        <v>11050</v>
      </c>
      <c r="B213" s="29" t="s">
        <v>103</v>
      </c>
      <c r="C213" s="30">
        <v>43217</v>
      </c>
      <c r="D213" s="30">
        <v>43245</v>
      </c>
      <c r="E213" s="30">
        <v>43225</v>
      </c>
      <c r="F213" s="29" t="s">
        <v>646</v>
      </c>
      <c r="G213" s="29">
        <v>297.04999999999995</v>
      </c>
      <c r="H213" s="29" t="s">
        <v>336</v>
      </c>
      <c r="I213" s="31" t="str">
        <f t="shared" si="3"/>
        <v>Apr</v>
      </c>
    </row>
    <row r="214" spans="1:9" x14ac:dyDescent="0.25">
      <c r="A214" s="24">
        <v>10267</v>
      </c>
      <c r="B214" s="25" t="s">
        <v>105</v>
      </c>
      <c r="C214" s="26">
        <v>42580</v>
      </c>
      <c r="D214" s="26">
        <v>42608</v>
      </c>
      <c r="E214" s="26">
        <v>42588</v>
      </c>
      <c r="F214" s="25" t="s">
        <v>645</v>
      </c>
      <c r="G214" s="25">
        <v>1042.9000000000001</v>
      </c>
      <c r="H214" s="25" t="s">
        <v>337</v>
      </c>
      <c r="I214" s="27" t="str">
        <f t="shared" si="3"/>
        <v>Jul</v>
      </c>
    </row>
    <row r="215" spans="1:9" x14ac:dyDescent="0.25">
      <c r="A215" s="28">
        <v>10337</v>
      </c>
      <c r="B215" s="29" t="s">
        <v>105</v>
      </c>
      <c r="C215" s="30">
        <v>42667</v>
      </c>
      <c r="D215" s="30">
        <v>42695</v>
      </c>
      <c r="E215" s="30">
        <v>42672</v>
      </c>
      <c r="F215" s="29" t="s">
        <v>647</v>
      </c>
      <c r="G215" s="29">
        <v>541.30000000000007</v>
      </c>
      <c r="H215" s="29" t="s">
        <v>337</v>
      </c>
      <c r="I215" s="31" t="str">
        <f t="shared" si="3"/>
        <v>Oct</v>
      </c>
    </row>
    <row r="216" spans="1:9" x14ac:dyDescent="0.25">
      <c r="A216" s="24">
        <v>10342</v>
      </c>
      <c r="B216" s="25" t="s">
        <v>105</v>
      </c>
      <c r="C216" s="26">
        <v>42673</v>
      </c>
      <c r="D216" s="26">
        <v>42687</v>
      </c>
      <c r="E216" s="26">
        <v>42678</v>
      </c>
      <c r="F216" s="25" t="s">
        <v>646</v>
      </c>
      <c r="G216" s="25">
        <v>274.14999999999998</v>
      </c>
      <c r="H216" s="25" t="s">
        <v>337</v>
      </c>
      <c r="I216" s="27" t="str">
        <f t="shared" si="3"/>
        <v>Oct</v>
      </c>
    </row>
    <row r="217" spans="1:9" x14ac:dyDescent="0.25">
      <c r="A217" s="28">
        <v>10396</v>
      </c>
      <c r="B217" s="29" t="s">
        <v>105</v>
      </c>
      <c r="C217" s="30">
        <v>42731</v>
      </c>
      <c r="D217" s="30">
        <v>42745</v>
      </c>
      <c r="E217" s="30">
        <v>42741</v>
      </c>
      <c r="F217" s="29" t="s">
        <v>647</v>
      </c>
      <c r="G217" s="29">
        <v>676.75</v>
      </c>
      <c r="H217" s="29" t="s">
        <v>337</v>
      </c>
      <c r="I217" s="31" t="str">
        <f t="shared" si="3"/>
        <v>Dec</v>
      </c>
    </row>
    <row r="218" spans="1:9" x14ac:dyDescent="0.25">
      <c r="A218" s="24">
        <v>10488</v>
      </c>
      <c r="B218" s="25" t="s">
        <v>105</v>
      </c>
      <c r="C218" s="26">
        <v>42821</v>
      </c>
      <c r="D218" s="26">
        <v>42849</v>
      </c>
      <c r="E218" s="26">
        <v>42827</v>
      </c>
      <c r="F218" s="25" t="s">
        <v>646</v>
      </c>
      <c r="G218" s="25">
        <v>24.65</v>
      </c>
      <c r="H218" s="25" t="s">
        <v>337</v>
      </c>
      <c r="I218" s="27" t="str">
        <f t="shared" si="3"/>
        <v>Mar</v>
      </c>
    </row>
    <row r="219" spans="1:9" x14ac:dyDescent="0.25">
      <c r="A219" s="28">
        <v>10560</v>
      </c>
      <c r="B219" s="29" t="s">
        <v>105</v>
      </c>
      <c r="C219" s="30">
        <v>42892</v>
      </c>
      <c r="D219" s="30">
        <v>42920</v>
      </c>
      <c r="E219" s="30">
        <v>42895</v>
      </c>
      <c r="F219" s="29" t="s">
        <v>645</v>
      </c>
      <c r="G219" s="29">
        <v>183.25</v>
      </c>
      <c r="H219" s="29" t="s">
        <v>337</v>
      </c>
      <c r="I219" s="31" t="str">
        <f t="shared" si="3"/>
        <v>Jun</v>
      </c>
    </row>
    <row r="220" spans="1:9" x14ac:dyDescent="0.25">
      <c r="A220" s="24">
        <v>10623</v>
      </c>
      <c r="B220" s="25" t="s">
        <v>105</v>
      </c>
      <c r="C220" s="26">
        <v>42954</v>
      </c>
      <c r="D220" s="26">
        <v>42982</v>
      </c>
      <c r="E220" s="26">
        <v>42959</v>
      </c>
      <c r="F220" s="25" t="s">
        <v>646</v>
      </c>
      <c r="G220" s="25">
        <v>485.90000000000003</v>
      </c>
      <c r="H220" s="25" t="s">
        <v>337</v>
      </c>
      <c r="I220" s="27" t="str">
        <f t="shared" si="3"/>
        <v>Aug</v>
      </c>
    </row>
    <row r="221" spans="1:9" x14ac:dyDescent="0.25">
      <c r="A221" s="28">
        <v>10653</v>
      </c>
      <c r="B221" s="29" t="s">
        <v>105</v>
      </c>
      <c r="C221" s="30">
        <v>42980</v>
      </c>
      <c r="D221" s="30">
        <v>43008</v>
      </c>
      <c r="E221" s="30">
        <v>42997</v>
      </c>
      <c r="F221" s="29" t="s">
        <v>645</v>
      </c>
      <c r="G221" s="29">
        <v>466.25</v>
      </c>
      <c r="H221" s="29" t="s">
        <v>337</v>
      </c>
      <c r="I221" s="31" t="str">
        <f t="shared" si="3"/>
        <v>Sep</v>
      </c>
    </row>
    <row r="222" spans="1:9" x14ac:dyDescent="0.25">
      <c r="A222" s="24">
        <v>10670</v>
      </c>
      <c r="B222" s="25" t="s">
        <v>105</v>
      </c>
      <c r="C222" s="26">
        <v>42994</v>
      </c>
      <c r="D222" s="26">
        <v>43022</v>
      </c>
      <c r="E222" s="26">
        <v>42996</v>
      </c>
      <c r="F222" s="25" t="s">
        <v>645</v>
      </c>
      <c r="G222" s="25">
        <v>1017.4</v>
      </c>
      <c r="H222" s="25" t="s">
        <v>337</v>
      </c>
      <c r="I222" s="27" t="str">
        <f t="shared" si="3"/>
        <v>Sep</v>
      </c>
    </row>
    <row r="223" spans="1:9" x14ac:dyDescent="0.25">
      <c r="A223" s="28">
        <v>10675</v>
      </c>
      <c r="B223" s="29" t="s">
        <v>105</v>
      </c>
      <c r="C223" s="30">
        <v>42997</v>
      </c>
      <c r="D223" s="30">
        <v>43025</v>
      </c>
      <c r="E223" s="30">
        <v>43001</v>
      </c>
      <c r="F223" s="29" t="s">
        <v>646</v>
      </c>
      <c r="G223" s="29">
        <v>159.25</v>
      </c>
      <c r="H223" s="29" t="s">
        <v>337</v>
      </c>
      <c r="I223" s="31" t="str">
        <f t="shared" si="3"/>
        <v>Sep</v>
      </c>
    </row>
    <row r="224" spans="1:9" x14ac:dyDescent="0.25">
      <c r="A224" s="24">
        <v>10717</v>
      </c>
      <c r="B224" s="25" t="s">
        <v>105</v>
      </c>
      <c r="C224" s="26">
        <v>43032</v>
      </c>
      <c r="D224" s="26">
        <v>43060</v>
      </c>
      <c r="E224" s="26">
        <v>43037</v>
      </c>
      <c r="F224" s="25" t="s">
        <v>646</v>
      </c>
      <c r="G224" s="25">
        <v>296.25</v>
      </c>
      <c r="H224" s="25" t="s">
        <v>337</v>
      </c>
      <c r="I224" s="27" t="str">
        <f t="shared" si="3"/>
        <v>Oct</v>
      </c>
    </row>
    <row r="225" spans="1:9" x14ac:dyDescent="0.25">
      <c r="A225" s="28">
        <v>10791</v>
      </c>
      <c r="B225" s="29" t="s">
        <v>105</v>
      </c>
      <c r="C225" s="30">
        <v>43092</v>
      </c>
      <c r="D225" s="30">
        <v>43120</v>
      </c>
      <c r="E225" s="30">
        <v>43101</v>
      </c>
      <c r="F225" s="29" t="s">
        <v>646</v>
      </c>
      <c r="G225" s="29">
        <v>84.25</v>
      </c>
      <c r="H225" s="29" t="s">
        <v>337</v>
      </c>
      <c r="I225" s="31" t="str">
        <f t="shared" si="3"/>
        <v>Dec</v>
      </c>
    </row>
    <row r="226" spans="1:9" x14ac:dyDescent="0.25">
      <c r="A226" s="24">
        <v>10859</v>
      </c>
      <c r="B226" s="25" t="s">
        <v>105</v>
      </c>
      <c r="C226" s="26">
        <v>43129</v>
      </c>
      <c r="D226" s="26">
        <v>43157</v>
      </c>
      <c r="E226" s="26">
        <v>43133</v>
      </c>
      <c r="F226" s="25" t="s">
        <v>646</v>
      </c>
      <c r="G226" s="25">
        <v>380.5</v>
      </c>
      <c r="H226" s="25" t="s">
        <v>337</v>
      </c>
      <c r="I226" s="27" t="str">
        <f t="shared" si="3"/>
        <v>Jan</v>
      </c>
    </row>
    <row r="227" spans="1:9" x14ac:dyDescent="0.25">
      <c r="A227" s="28">
        <v>10929</v>
      </c>
      <c r="B227" s="29" t="s">
        <v>105</v>
      </c>
      <c r="C227" s="30">
        <v>43164</v>
      </c>
      <c r="D227" s="30">
        <v>43192</v>
      </c>
      <c r="E227" s="30">
        <v>43171</v>
      </c>
      <c r="F227" s="29" t="s">
        <v>645</v>
      </c>
      <c r="G227" s="29">
        <v>169.65</v>
      </c>
      <c r="H227" s="29" t="s">
        <v>337</v>
      </c>
      <c r="I227" s="31" t="str">
        <f t="shared" si="3"/>
        <v>Mar</v>
      </c>
    </row>
    <row r="228" spans="1:9" x14ac:dyDescent="0.25">
      <c r="A228" s="24">
        <v>11012</v>
      </c>
      <c r="B228" s="25" t="s">
        <v>105</v>
      </c>
      <c r="C228" s="26">
        <v>43199</v>
      </c>
      <c r="D228" s="26">
        <v>43213</v>
      </c>
      <c r="E228" s="26">
        <v>43207</v>
      </c>
      <c r="F228" s="25" t="s">
        <v>647</v>
      </c>
      <c r="G228" s="25">
        <v>1214.75</v>
      </c>
      <c r="H228" s="25" t="s">
        <v>337</v>
      </c>
      <c r="I228" s="27" t="str">
        <f t="shared" si="3"/>
        <v>Apr</v>
      </c>
    </row>
    <row r="229" spans="1:9" x14ac:dyDescent="0.25">
      <c r="A229" s="28">
        <v>10671</v>
      </c>
      <c r="B229" s="29" t="s">
        <v>108</v>
      </c>
      <c r="C229" s="30">
        <v>42995</v>
      </c>
      <c r="D229" s="30">
        <v>43023</v>
      </c>
      <c r="E229" s="30">
        <v>43002</v>
      </c>
      <c r="F229" s="29" t="s">
        <v>645</v>
      </c>
      <c r="G229" s="29">
        <v>151.69999999999999</v>
      </c>
      <c r="H229" s="29" t="s">
        <v>338</v>
      </c>
      <c r="I229" s="31" t="str">
        <f t="shared" si="3"/>
        <v>Sep</v>
      </c>
    </row>
    <row r="230" spans="1:9" x14ac:dyDescent="0.25">
      <c r="A230" s="24">
        <v>10860</v>
      </c>
      <c r="B230" s="25" t="s">
        <v>108</v>
      </c>
      <c r="C230" s="26">
        <v>43129</v>
      </c>
      <c r="D230" s="26">
        <v>43157</v>
      </c>
      <c r="E230" s="26">
        <v>43135</v>
      </c>
      <c r="F230" s="25" t="s">
        <v>647</v>
      </c>
      <c r="G230" s="25">
        <v>96.300000000000011</v>
      </c>
      <c r="H230" s="25" t="s">
        <v>338</v>
      </c>
      <c r="I230" s="27" t="str">
        <f t="shared" si="3"/>
        <v>Jan</v>
      </c>
    </row>
    <row r="231" spans="1:9" x14ac:dyDescent="0.25">
      <c r="A231" s="28">
        <v>10971</v>
      </c>
      <c r="B231" s="29" t="s">
        <v>108</v>
      </c>
      <c r="C231" s="30">
        <v>43183</v>
      </c>
      <c r="D231" s="30">
        <v>43211</v>
      </c>
      <c r="E231" s="30">
        <v>43192</v>
      </c>
      <c r="F231" s="29" t="s">
        <v>646</v>
      </c>
      <c r="G231" s="29">
        <v>609.09999999999991</v>
      </c>
      <c r="H231" s="29" t="s">
        <v>338</v>
      </c>
      <c r="I231" s="31" t="str">
        <f t="shared" si="3"/>
        <v>Mar</v>
      </c>
    </row>
    <row r="232" spans="1:9" x14ac:dyDescent="0.25">
      <c r="A232" s="24">
        <v>10422</v>
      </c>
      <c r="B232" s="25" t="s">
        <v>111</v>
      </c>
      <c r="C232" s="26">
        <v>42757</v>
      </c>
      <c r="D232" s="26">
        <v>42785</v>
      </c>
      <c r="E232" s="26">
        <v>42766</v>
      </c>
      <c r="F232" s="25" t="s">
        <v>645</v>
      </c>
      <c r="G232" s="25">
        <v>15.1</v>
      </c>
      <c r="H232" s="25" t="s">
        <v>339</v>
      </c>
      <c r="I232" s="27" t="str">
        <f t="shared" si="3"/>
        <v>Jan</v>
      </c>
    </row>
    <row r="233" spans="1:9" x14ac:dyDescent="0.25">
      <c r="A233" s="28">
        <v>10710</v>
      </c>
      <c r="B233" s="29" t="s">
        <v>111</v>
      </c>
      <c r="C233" s="30">
        <v>43028</v>
      </c>
      <c r="D233" s="30">
        <v>43056</v>
      </c>
      <c r="E233" s="30">
        <v>43031</v>
      </c>
      <c r="F233" s="29" t="s">
        <v>645</v>
      </c>
      <c r="G233" s="29">
        <v>24.900000000000002</v>
      </c>
      <c r="H233" s="29" t="s">
        <v>339</v>
      </c>
      <c r="I233" s="31" t="str">
        <f t="shared" si="3"/>
        <v>Oct</v>
      </c>
    </row>
    <row r="234" spans="1:9" x14ac:dyDescent="0.25">
      <c r="A234" s="24">
        <v>10753</v>
      </c>
      <c r="B234" s="25" t="s">
        <v>111</v>
      </c>
      <c r="C234" s="26">
        <v>43064</v>
      </c>
      <c r="D234" s="26">
        <v>43092</v>
      </c>
      <c r="E234" s="26">
        <v>43066</v>
      </c>
      <c r="F234" s="25" t="s">
        <v>645</v>
      </c>
      <c r="G234" s="25">
        <v>38.5</v>
      </c>
      <c r="H234" s="25" t="s">
        <v>339</v>
      </c>
      <c r="I234" s="27" t="str">
        <f t="shared" si="3"/>
        <v>Nov</v>
      </c>
    </row>
    <row r="235" spans="1:9" x14ac:dyDescent="0.25">
      <c r="A235" s="28">
        <v>10807</v>
      </c>
      <c r="B235" s="29" t="s">
        <v>111</v>
      </c>
      <c r="C235" s="30">
        <v>43100</v>
      </c>
      <c r="D235" s="30">
        <v>43128</v>
      </c>
      <c r="E235" s="30">
        <v>43130</v>
      </c>
      <c r="F235" s="29" t="s">
        <v>645</v>
      </c>
      <c r="G235" s="29">
        <v>6.8000000000000007</v>
      </c>
      <c r="H235" s="29" t="s">
        <v>339</v>
      </c>
      <c r="I235" s="31" t="str">
        <f t="shared" si="3"/>
        <v>Dec</v>
      </c>
    </row>
    <row r="236" spans="1:9" x14ac:dyDescent="0.25">
      <c r="A236" s="24">
        <v>11026</v>
      </c>
      <c r="B236" s="25" t="s">
        <v>111</v>
      </c>
      <c r="C236" s="26">
        <v>43205</v>
      </c>
      <c r="D236" s="26">
        <v>43233</v>
      </c>
      <c r="E236" s="26">
        <v>43218</v>
      </c>
      <c r="F236" s="25" t="s">
        <v>645</v>
      </c>
      <c r="G236" s="25">
        <v>235.45000000000002</v>
      </c>
      <c r="H236" s="25" t="s">
        <v>339</v>
      </c>
      <c r="I236" s="27" t="str">
        <f t="shared" si="3"/>
        <v>Apr</v>
      </c>
    </row>
    <row r="237" spans="1:9" x14ac:dyDescent="0.25">
      <c r="A237" s="28">
        <v>11060</v>
      </c>
      <c r="B237" s="29" t="s">
        <v>111</v>
      </c>
      <c r="C237" s="30">
        <v>43220</v>
      </c>
      <c r="D237" s="30">
        <v>43248</v>
      </c>
      <c r="E237" s="30">
        <v>43224</v>
      </c>
      <c r="F237" s="29" t="s">
        <v>646</v>
      </c>
      <c r="G237" s="29">
        <v>54.900000000000006</v>
      </c>
      <c r="H237" s="29" t="s">
        <v>339</v>
      </c>
      <c r="I237" s="31" t="str">
        <f t="shared" si="3"/>
        <v>Apr</v>
      </c>
    </row>
    <row r="238" spans="1:9" x14ac:dyDescent="0.25">
      <c r="A238" s="24">
        <v>10328</v>
      </c>
      <c r="B238" s="25" t="s">
        <v>114</v>
      </c>
      <c r="C238" s="26">
        <v>42657</v>
      </c>
      <c r="D238" s="26">
        <v>42685</v>
      </c>
      <c r="E238" s="26">
        <v>42660</v>
      </c>
      <c r="F238" s="25" t="s">
        <v>647</v>
      </c>
      <c r="G238" s="25">
        <v>435.15</v>
      </c>
      <c r="H238" s="25" t="s">
        <v>340</v>
      </c>
      <c r="I238" s="27" t="str">
        <f t="shared" si="3"/>
        <v>Oct</v>
      </c>
    </row>
    <row r="239" spans="1:9" x14ac:dyDescent="0.25">
      <c r="A239" s="28">
        <v>10352</v>
      </c>
      <c r="B239" s="29" t="s">
        <v>114</v>
      </c>
      <c r="C239" s="30">
        <v>42686</v>
      </c>
      <c r="D239" s="30">
        <v>42700</v>
      </c>
      <c r="E239" s="30">
        <v>42692</v>
      </c>
      <c r="F239" s="29" t="s">
        <v>647</v>
      </c>
      <c r="G239" s="29">
        <v>6.5</v>
      </c>
      <c r="H239" s="29" t="s">
        <v>340</v>
      </c>
      <c r="I239" s="31" t="str">
        <f t="shared" si="3"/>
        <v>Nov</v>
      </c>
    </row>
    <row r="240" spans="1:9" x14ac:dyDescent="0.25">
      <c r="A240" s="24">
        <v>10464</v>
      </c>
      <c r="B240" s="25" t="s">
        <v>114</v>
      </c>
      <c r="C240" s="26">
        <v>42798</v>
      </c>
      <c r="D240" s="26">
        <v>42826</v>
      </c>
      <c r="E240" s="26">
        <v>42808</v>
      </c>
      <c r="F240" s="25" t="s">
        <v>646</v>
      </c>
      <c r="G240" s="25">
        <v>445</v>
      </c>
      <c r="H240" s="25" t="s">
        <v>340</v>
      </c>
      <c r="I240" s="27" t="str">
        <f t="shared" si="3"/>
        <v>Mar</v>
      </c>
    </row>
    <row r="241" spans="1:9" x14ac:dyDescent="0.25">
      <c r="A241" s="28">
        <v>10491</v>
      </c>
      <c r="B241" s="29" t="s">
        <v>114</v>
      </c>
      <c r="C241" s="30">
        <v>42825</v>
      </c>
      <c r="D241" s="30">
        <v>42853</v>
      </c>
      <c r="E241" s="30">
        <v>42833</v>
      </c>
      <c r="F241" s="29" t="s">
        <v>647</v>
      </c>
      <c r="G241" s="29">
        <v>84.800000000000011</v>
      </c>
      <c r="H241" s="29" t="s">
        <v>340</v>
      </c>
      <c r="I241" s="31" t="str">
        <f t="shared" si="3"/>
        <v>Mar</v>
      </c>
    </row>
    <row r="242" spans="1:9" x14ac:dyDescent="0.25">
      <c r="A242" s="24">
        <v>10551</v>
      </c>
      <c r="B242" s="25" t="s">
        <v>114</v>
      </c>
      <c r="C242" s="26">
        <v>42883</v>
      </c>
      <c r="D242" s="26">
        <v>42925</v>
      </c>
      <c r="E242" s="26">
        <v>42892</v>
      </c>
      <c r="F242" s="25" t="s">
        <v>647</v>
      </c>
      <c r="G242" s="25">
        <v>364.75</v>
      </c>
      <c r="H242" s="25" t="s">
        <v>340</v>
      </c>
      <c r="I242" s="27" t="str">
        <f t="shared" si="3"/>
        <v>May</v>
      </c>
    </row>
    <row r="243" spans="1:9" x14ac:dyDescent="0.25">
      <c r="A243" s="28">
        <v>10604</v>
      </c>
      <c r="B243" s="29" t="s">
        <v>114</v>
      </c>
      <c r="C243" s="30">
        <v>42934</v>
      </c>
      <c r="D243" s="30">
        <v>42962</v>
      </c>
      <c r="E243" s="30">
        <v>42945</v>
      </c>
      <c r="F243" s="29" t="s">
        <v>645</v>
      </c>
      <c r="G243" s="29">
        <v>37.299999999999997</v>
      </c>
      <c r="H243" s="29" t="s">
        <v>340</v>
      </c>
      <c r="I243" s="31" t="str">
        <f t="shared" si="3"/>
        <v>Jul</v>
      </c>
    </row>
    <row r="244" spans="1:9" x14ac:dyDescent="0.25">
      <c r="A244" s="24">
        <v>10664</v>
      </c>
      <c r="B244" s="25" t="s">
        <v>114</v>
      </c>
      <c r="C244" s="26">
        <v>42988</v>
      </c>
      <c r="D244" s="26">
        <v>43016</v>
      </c>
      <c r="E244" s="26">
        <v>42997</v>
      </c>
      <c r="F244" s="25" t="s">
        <v>647</v>
      </c>
      <c r="G244" s="25">
        <v>6.35</v>
      </c>
      <c r="H244" s="25" t="s">
        <v>340</v>
      </c>
      <c r="I244" s="27" t="str">
        <f t="shared" si="3"/>
        <v>Sep</v>
      </c>
    </row>
    <row r="245" spans="1:9" x14ac:dyDescent="0.25">
      <c r="A245" s="28">
        <v>10963</v>
      </c>
      <c r="B245" s="29" t="s">
        <v>114</v>
      </c>
      <c r="C245" s="30">
        <v>43178</v>
      </c>
      <c r="D245" s="30">
        <v>43206</v>
      </c>
      <c r="E245" s="30">
        <v>43185</v>
      </c>
      <c r="F245" s="29" t="s">
        <v>647</v>
      </c>
      <c r="G245" s="29">
        <v>13.5</v>
      </c>
      <c r="H245" s="29" t="s">
        <v>340</v>
      </c>
      <c r="I245" s="31" t="str">
        <f t="shared" si="3"/>
        <v>Mar</v>
      </c>
    </row>
    <row r="246" spans="1:9" x14ac:dyDescent="0.25">
      <c r="A246" s="24">
        <v>10366</v>
      </c>
      <c r="B246" s="25" t="s">
        <v>117</v>
      </c>
      <c r="C246" s="26">
        <v>42702</v>
      </c>
      <c r="D246" s="26">
        <v>42744</v>
      </c>
      <c r="E246" s="26">
        <v>42734</v>
      </c>
      <c r="F246" s="25" t="s">
        <v>646</v>
      </c>
      <c r="G246" s="25">
        <v>50.7</v>
      </c>
      <c r="H246" s="25" t="s">
        <v>341</v>
      </c>
      <c r="I246" s="27" t="str">
        <f t="shared" si="3"/>
        <v>Nov</v>
      </c>
    </row>
    <row r="247" spans="1:9" x14ac:dyDescent="0.25">
      <c r="A247" s="28">
        <v>10426</v>
      </c>
      <c r="B247" s="29" t="s">
        <v>117</v>
      </c>
      <c r="C247" s="30">
        <v>42762</v>
      </c>
      <c r="D247" s="30">
        <v>42790</v>
      </c>
      <c r="E247" s="30">
        <v>42772</v>
      </c>
      <c r="F247" s="29" t="s">
        <v>645</v>
      </c>
      <c r="G247" s="29">
        <v>93.45</v>
      </c>
      <c r="H247" s="29" t="s">
        <v>341</v>
      </c>
      <c r="I247" s="31" t="str">
        <f t="shared" si="3"/>
        <v>Jan</v>
      </c>
    </row>
    <row r="248" spans="1:9" x14ac:dyDescent="0.25">
      <c r="A248" s="24">
        <v>10568</v>
      </c>
      <c r="B248" s="25" t="s">
        <v>117</v>
      </c>
      <c r="C248" s="26">
        <v>42899</v>
      </c>
      <c r="D248" s="26">
        <v>42927</v>
      </c>
      <c r="E248" s="26">
        <v>42925</v>
      </c>
      <c r="F248" s="25" t="s">
        <v>647</v>
      </c>
      <c r="G248" s="25">
        <v>32.700000000000003</v>
      </c>
      <c r="H248" s="25" t="s">
        <v>341</v>
      </c>
      <c r="I248" s="27" t="str">
        <f t="shared" si="3"/>
        <v>Jun</v>
      </c>
    </row>
    <row r="249" spans="1:9" x14ac:dyDescent="0.25">
      <c r="A249" s="28">
        <v>10887</v>
      </c>
      <c r="B249" s="29" t="s">
        <v>117</v>
      </c>
      <c r="C249" s="30">
        <v>43144</v>
      </c>
      <c r="D249" s="30">
        <v>43172</v>
      </c>
      <c r="E249" s="30">
        <v>43147</v>
      </c>
      <c r="F249" s="29" t="s">
        <v>647</v>
      </c>
      <c r="G249" s="29">
        <v>6.25</v>
      </c>
      <c r="H249" s="29" t="s">
        <v>341</v>
      </c>
      <c r="I249" s="31" t="str">
        <f t="shared" si="3"/>
        <v>Feb</v>
      </c>
    </row>
    <row r="250" spans="1:9" x14ac:dyDescent="0.25">
      <c r="A250" s="24">
        <v>10928</v>
      </c>
      <c r="B250" s="25" t="s">
        <v>117</v>
      </c>
      <c r="C250" s="26">
        <v>43164</v>
      </c>
      <c r="D250" s="26">
        <v>43192</v>
      </c>
      <c r="E250" s="26">
        <v>43177</v>
      </c>
      <c r="F250" s="25" t="s">
        <v>645</v>
      </c>
      <c r="G250" s="25">
        <v>6.8000000000000007</v>
      </c>
      <c r="H250" s="25" t="s">
        <v>341</v>
      </c>
      <c r="I250" s="27" t="str">
        <f t="shared" si="3"/>
        <v>Mar</v>
      </c>
    </row>
    <row r="251" spans="1:9" x14ac:dyDescent="0.25">
      <c r="A251" s="28">
        <v>10303</v>
      </c>
      <c r="B251" s="29" t="s">
        <v>120</v>
      </c>
      <c r="C251" s="30">
        <v>42624</v>
      </c>
      <c r="D251" s="30">
        <v>42652</v>
      </c>
      <c r="E251" s="30">
        <v>42631</v>
      </c>
      <c r="F251" s="29" t="s">
        <v>646</v>
      </c>
      <c r="G251" s="29">
        <v>539.15</v>
      </c>
      <c r="H251" s="29" t="s">
        <v>342</v>
      </c>
      <c r="I251" s="31" t="str">
        <f t="shared" si="3"/>
        <v>Sep</v>
      </c>
    </row>
    <row r="252" spans="1:9" x14ac:dyDescent="0.25">
      <c r="A252" s="24">
        <v>10550</v>
      </c>
      <c r="B252" s="25" t="s">
        <v>120</v>
      </c>
      <c r="C252" s="26">
        <v>42883</v>
      </c>
      <c r="D252" s="26">
        <v>42911</v>
      </c>
      <c r="E252" s="26">
        <v>42892</v>
      </c>
      <c r="F252" s="25" t="s">
        <v>647</v>
      </c>
      <c r="G252" s="25">
        <v>21.6</v>
      </c>
      <c r="H252" s="25" t="s">
        <v>342</v>
      </c>
      <c r="I252" s="27" t="str">
        <f t="shared" si="3"/>
        <v>May</v>
      </c>
    </row>
    <row r="253" spans="1:9" x14ac:dyDescent="0.25">
      <c r="A253" s="28">
        <v>10629</v>
      </c>
      <c r="B253" s="29" t="s">
        <v>120</v>
      </c>
      <c r="C253" s="30">
        <v>42959</v>
      </c>
      <c r="D253" s="30">
        <v>42987</v>
      </c>
      <c r="E253" s="30">
        <v>42967</v>
      </c>
      <c r="F253" s="29" t="s">
        <v>647</v>
      </c>
      <c r="G253" s="29">
        <v>427.29999999999995</v>
      </c>
      <c r="H253" s="29" t="s">
        <v>342</v>
      </c>
      <c r="I253" s="31" t="str">
        <f t="shared" si="3"/>
        <v>Aug</v>
      </c>
    </row>
    <row r="254" spans="1:9" x14ac:dyDescent="0.25">
      <c r="A254" s="24">
        <v>10872</v>
      </c>
      <c r="B254" s="25" t="s">
        <v>120</v>
      </c>
      <c r="C254" s="26">
        <v>43136</v>
      </c>
      <c r="D254" s="26">
        <v>43164</v>
      </c>
      <c r="E254" s="26">
        <v>43140</v>
      </c>
      <c r="F254" s="25" t="s">
        <v>646</v>
      </c>
      <c r="G254" s="25">
        <v>876.59999999999991</v>
      </c>
      <c r="H254" s="25" t="s">
        <v>342</v>
      </c>
      <c r="I254" s="27" t="str">
        <f t="shared" si="3"/>
        <v>Feb</v>
      </c>
    </row>
    <row r="255" spans="1:9" x14ac:dyDescent="0.25">
      <c r="A255" s="28">
        <v>10874</v>
      </c>
      <c r="B255" s="29" t="s">
        <v>120</v>
      </c>
      <c r="C255" s="30">
        <v>43137</v>
      </c>
      <c r="D255" s="30">
        <v>43165</v>
      </c>
      <c r="E255" s="30">
        <v>43142</v>
      </c>
      <c r="F255" s="29" t="s">
        <v>646</v>
      </c>
      <c r="G255" s="29">
        <v>97.899999999999991</v>
      </c>
      <c r="H255" s="29" t="s">
        <v>342</v>
      </c>
      <c r="I255" s="31" t="str">
        <f t="shared" si="3"/>
        <v>Feb</v>
      </c>
    </row>
    <row r="256" spans="1:9" x14ac:dyDescent="0.25">
      <c r="A256" s="24">
        <v>10888</v>
      </c>
      <c r="B256" s="25" t="s">
        <v>120</v>
      </c>
      <c r="C256" s="26">
        <v>43147</v>
      </c>
      <c r="D256" s="26">
        <v>43175</v>
      </c>
      <c r="E256" s="26">
        <v>43154</v>
      </c>
      <c r="F256" s="25" t="s">
        <v>646</v>
      </c>
      <c r="G256" s="25">
        <v>259.34999999999997</v>
      </c>
      <c r="H256" s="25" t="s">
        <v>342</v>
      </c>
      <c r="I256" s="27" t="str">
        <f t="shared" si="3"/>
        <v>Feb</v>
      </c>
    </row>
    <row r="257" spans="1:9" x14ac:dyDescent="0.25">
      <c r="A257" s="28">
        <v>10911</v>
      </c>
      <c r="B257" s="29" t="s">
        <v>120</v>
      </c>
      <c r="C257" s="30">
        <v>43157</v>
      </c>
      <c r="D257" s="30">
        <v>43185</v>
      </c>
      <c r="E257" s="30">
        <v>43164</v>
      </c>
      <c r="F257" s="29" t="s">
        <v>645</v>
      </c>
      <c r="G257" s="29">
        <v>190.95</v>
      </c>
      <c r="H257" s="29" t="s">
        <v>342</v>
      </c>
      <c r="I257" s="31" t="str">
        <f t="shared" si="3"/>
        <v>Feb</v>
      </c>
    </row>
    <row r="258" spans="1:9" x14ac:dyDescent="0.25">
      <c r="A258" s="24">
        <v>10948</v>
      </c>
      <c r="B258" s="25" t="s">
        <v>120</v>
      </c>
      <c r="C258" s="26">
        <v>43172</v>
      </c>
      <c r="D258" s="26">
        <v>43200</v>
      </c>
      <c r="E258" s="26">
        <v>43178</v>
      </c>
      <c r="F258" s="25" t="s">
        <v>647</v>
      </c>
      <c r="G258" s="25">
        <v>116.95</v>
      </c>
      <c r="H258" s="25" t="s">
        <v>342</v>
      </c>
      <c r="I258" s="27" t="str">
        <f t="shared" si="3"/>
        <v>Mar</v>
      </c>
    </row>
    <row r="259" spans="1:9" x14ac:dyDescent="0.25">
      <c r="A259" s="28">
        <v>11009</v>
      </c>
      <c r="B259" s="29" t="s">
        <v>120</v>
      </c>
      <c r="C259" s="30">
        <v>43198</v>
      </c>
      <c r="D259" s="30">
        <v>43226</v>
      </c>
      <c r="E259" s="30">
        <v>43200</v>
      </c>
      <c r="F259" s="29" t="s">
        <v>645</v>
      </c>
      <c r="G259" s="29">
        <v>295.55</v>
      </c>
      <c r="H259" s="29" t="s">
        <v>342</v>
      </c>
      <c r="I259" s="31" t="str">
        <f t="shared" ref="I259:I322" si="4">TEXT(C259,"mmm")</f>
        <v>Apr</v>
      </c>
    </row>
    <row r="260" spans="1:9" x14ac:dyDescent="0.25">
      <c r="A260" s="24">
        <v>11037</v>
      </c>
      <c r="B260" s="25" t="s">
        <v>120</v>
      </c>
      <c r="C260" s="26">
        <v>43211</v>
      </c>
      <c r="D260" s="26">
        <v>43239</v>
      </c>
      <c r="E260" s="26">
        <v>43217</v>
      </c>
      <c r="F260" s="25" t="s">
        <v>645</v>
      </c>
      <c r="G260" s="25">
        <v>16</v>
      </c>
      <c r="H260" s="25" t="s">
        <v>342</v>
      </c>
      <c r="I260" s="27" t="str">
        <f t="shared" si="4"/>
        <v>Apr</v>
      </c>
    </row>
    <row r="261" spans="1:9" x14ac:dyDescent="0.25">
      <c r="A261" s="28">
        <v>10423</v>
      </c>
      <c r="B261" s="29" t="s">
        <v>122</v>
      </c>
      <c r="C261" s="30">
        <v>42758</v>
      </c>
      <c r="D261" s="30">
        <v>42772</v>
      </c>
      <c r="E261" s="30">
        <v>42790</v>
      </c>
      <c r="F261" s="29" t="s">
        <v>647</v>
      </c>
      <c r="G261" s="29">
        <v>122.5</v>
      </c>
      <c r="H261" s="29" t="s">
        <v>343</v>
      </c>
      <c r="I261" s="31" t="str">
        <f t="shared" si="4"/>
        <v>Jan</v>
      </c>
    </row>
    <row r="262" spans="1:9" x14ac:dyDescent="0.25">
      <c r="A262" s="24">
        <v>10652</v>
      </c>
      <c r="B262" s="25" t="s">
        <v>122</v>
      </c>
      <c r="C262" s="26">
        <v>42979</v>
      </c>
      <c r="D262" s="26">
        <v>43007</v>
      </c>
      <c r="E262" s="26">
        <v>42986</v>
      </c>
      <c r="F262" s="25" t="s">
        <v>646</v>
      </c>
      <c r="G262" s="25">
        <v>35.699999999999996</v>
      </c>
      <c r="H262" s="25" t="s">
        <v>343</v>
      </c>
      <c r="I262" s="27" t="str">
        <f t="shared" si="4"/>
        <v>Sep</v>
      </c>
    </row>
    <row r="263" spans="1:9" x14ac:dyDescent="0.25">
      <c r="A263" s="28">
        <v>10685</v>
      </c>
      <c r="B263" s="29" t="s">
        <v>122</v>
      </c>
      <c r="C263" s="30">
        <v>43007</v>
      </c>
      <c r="D263" s="30">
        <v>43021</v>
      </c>
      <c r="E263" s="30">
        <v>43011</v>
      </c>
      <c r="F263" s="29" t="s">
        <v>646</v>
      </c>
      <c r="G263" s="29">
        <v>168.75</v>
      </c>
      <c r="H263" s="29" t="s">
        <v>343</v>
      </c>
      <c r="I263" s="31" t="str">
        <f t="shared" si="4"/>
        <v>Sep</v>
      </c>
    </row>
    <row r="264" spans="1:9" x14ac:dyDescent="0.25">
      <c r="A264" s="24">
        <v>10709</v>
      </c>
      <c r="B264" s="25" t="s">
        <v>122</v>
      </c>
      <c r="C264" s="26">
        <v>43025</v>
      </c>
      <c r="D264" s="26">
        <v>43053</v>
      </c>
      <c r="E264" s="26">
        <v>43059</v>
      </c>
      <c r="F264" s="25" t="s">
        <v>647</v>
      </c>
      <c r="G264" s="25">
        <v>1054</v>
      </c>
      <c r="H264" s="25" t="s">
        <v>343</v>
      </c>
      <c r="I264" s="27" t="str">
        <f t="shared" si="4"/>
        <v>Oct</v>
      </c>
    </row>
    <row r="265" spans="1:9" x14ac:dyDescent="0.25">
      <c r="A265" s="28">
        <v>10734</v>
      </c>
      <c r="B265" s="29" t="s">
        <v>122</v>
      </c>
      <c r="C265" s="30">
        <v>43046</v>
      </c>
      <c r="D265" s="30">
        <v>43074</v>
      </c>
      <c r="E265" s="30">
        <v>43051</v>
      </c>
      <c r="F265" s="29" t="s">
        <v>647</v>
      </c>
      <c r="G265" s="29">
        <v>8.1499999999999986</v>
      </c>
      <c r="H265" s="29" t="s">
        <v>343</v>
      </c>
      <c r="I265" s="31" t="str">
        <f t="shared" si="4"/>
        <v>Nov</v>
      </c>
    </row>
    <row r="266" spans="1:9" x14ac:dyDescent="0.25">
      <c r="A266" s="24">
        <v>10777</v>
      </c>
      <c r="B266" s="25" t="s">
        <v>122</v>
      </c>
      <c r="C266" s="26">
        <v>43084</v>
      </c>
      <c r="D266" s="26">
        <v>43098</v>
      </c>
      <c r="E266" s="26">
        <v>43121</v>
      </c>
      <c r="F266" s="25" t="s">
        <v>646</v>
      </c>
      <c r="G266" s="25">
        <v>15.049999999999999</v>
      </c>
      <c r="H266" s="25" t="s">
        <v>343</v>
      </c>
      <c r="I266" s="27" t="str">
        <f t="shared" si="4"/>
        <v>Dec</v>
      </c>
    </row>
    <row r="267" spans="1:9" x14ac:dyDescent="0.25">
      <c r="A267" s="28">
        <v>10790</v>
      </c>
      <c r="B267" s="29" t="s">
        <v>122</v>
      </c>
      <c r="C267" s="30">
        <v>43091</v>
      </c>
      <c r="D267" s="30">
        <v>43119</v>
      </c>
      <c r="E267" s="30">
        <v>43095</v>
      </c>
      <c r="F267" s="29" t="s">
        <v>645</v>
      </c>
      <c r="G267" s="29">
        <v>141.15</v>
      </c>
      <c r="H267" s="29" t="s">
        <v>343</v>
      </c>
      <c r="I267" s="31" t="str">
        <f t="shared" si="4"/>
        <v>Dec</v>
      </c>
    </row>
    <row r="268" spans="1:9" x14ac:dyDescent="0.25">
      <c r="A268" s="24">
        <v>10959</v>
      </c>
      <c r="B268" s="25" t="s">
        <v>122</v>
      </c>
      <c r="C268" s="26">
        <v>43177</v>
      </c>
      <c r="D268" s="26">
        <v>43219</v>
      </c>
      <c r="E268" s="26">
        <v>43182</v>
      </c>
      <c r="F268" s="25" t="s">
        <v>646</v>
      </c>
      <c r="G268" s="25">
        <v>24.900000000000002</v>
      </c>
      <c r="H268" s="25" t="s">
        <v>343</v>
      </c>
      <c r="I268" s="27" t="str">
        <f t="shared" si="4"/>
        <v>Mar</v>
      </c>
    </row>
    <row r="269" spans="1:9" x14ac:dyDescent="0.25">
      <c r="A269" s="28">
        <v>11049</v>
      </c>
      <c r="B269" s="29" t="s">
        <v>122</v>
      </c>
      <c r="C269" s="30">
        <v>43214</v>
      </c>
      <c r="D269" s="30">
        <v>43242</v>
      </c>
      <c r="E269" s="30">
        <v>43224</v>
      </c>
      <c r="F269" s="29" t="s">
        <v>645</v>
      </c>
      <c r="G269" s="29">
        <v>41.7</v>
      </c>
      <c r="H269" s="29" t="s">
        <v>343</v>
      </c>
      <c r="I269" s="31" t="str">
        <f t="shared" si="4"/>
        <v>Apr</v>
      </c>
    </row>
    <row r="270" spans="1:9" x14ac:dyDescent="0.25">
      <c r="A270" s="24">
        <v>10528</v>
      </c>
      <c r="B270" s="25" t="s">
        <v>124</v>
      </c>
      <c r="C270" s="26">
        <v>42861</v>
      </c>
      <c r="D270" s="26">
        <v>42875</v>
      </c>
      <c r="E270" s="26">
        <v>42864</v>
      </c>
      <c r="F270" s="25" t="s">
        <v>646</v>
      </c>
      <c r="G270" s="25">
        <v>16.75</v>
      </c>
      <c r="H270" s="25" t="s">
        <v>344</v>
      </c>
      <c r="I270" s="27" t="str">
        <f t="shared" si="4"/>
        <v>May</v>
      </c>
    </row>
    <row r="271" spans="1:9" x14ac:dyDescent="0.25">
      <c r="A271" s="28">
        <v>10589</v>
      </c>
      <c r="B271" s="29" t="s">
        <v>124</v>
      </c>
      <c r="C271" s="30">
        <v>42920</v>
      </c>
      <c r="D271" s="30">
        <v>42948</v>
      </c>
      <c r="E271" s="30">
        <v>42930</v>
      </c>
      <c r="F271" s="29" t="s">
        <v>646</v>
      </c>
      <c r="G271" s="29">
        <v>22.1</v>
      </c>
      <c r="H271" s="29" t="s">
        <v>344</v>
      </c>
      <c r="I271" s="31" t="str">
        <f t="shared" si="4"/>
        <v>Jul</v>
      </c>
    </row>
    <row r="272" spans="1:9" x14ac:dyDescent="0.25">
      <c r="A272" s="24">
        <v>10616</v>
      </c>
      <c r="B272" s="25" t="s">
        <v>124</v>
      </c>
      <c r="C272" s="26">
        <v>42947</v>
      </c>
      <c r="D272" s="26">
        <v>42975</v>
      </c>
      <c r="E272" s="26">
        <v>42952</v>
      </c>
      <c r="F272" s="25" t="s">
        <v>646</v>
      </c>
      <c r="G272" s="25">
        <v>582.65</v>
      </c>
      <c r="H272" s="25" t="s">
        <v>344</v>
      </c>
      <c r="I272" s="27" t="str">
        <f t="shared" si="4"/>
        <v>Jul</v>
      </c>
    </row>
    <row r="273" spans="1:9" x14ac:dyDescent="0.25">
      <c r="A273" s="28">
        <v>10617</v>
      </c>
      <c r="B273" s="29" t="s">
        <v>124</v>
      </c>
      <c r="C273" s="30">
        <v>42947</v>
      </c>
      <c r="D273" s="30">
        <v>42975</v>
      </c>
      <c r="E273" s="30">
        <v>42951</v>
      </c>
      <c r="F273" s="29" t="s">
        <v>646</v>
      </c>
      <c r="G273" s="29">
        <v>92.65</v>
      </c>
      <c r="H273" s="29" t="s">
        <v>344</v>
      </c>
      <c r="I273" s="31" t="str">
        <f t="shared" si="4"/>
        <v>Jul</v>
      </c>
    </row>
    <row r="274" spans="1:9" x14ac:dyDescent="0.25">
      <c r="A274" s="24">
        <v>10656</v>
      </c>
      <c r="B274" s="25" t="s">
        <v>124</v>
      </c>
      <c r="C274" s="26">
        <v>42982</v>
      </c>
      <c r="D274" s="26">
        <v>43010</v>
      </c>
      <c r="E274" s="26">
        <v>42988</v>
      </c>
      <c r="F274" s="25" t="s">
        <v>645</v>
      </c>
      <c r="G274" s="25">
        <v>285.75</v>
      </c>
      <c r="H274" s="25" t="s">
        <v>344</v>
      </c>
      <c r="I274" s="27" t="str">
        <f t="shared" si="4"/>
        <v>Sep</v>
      </c>
    </row>
    <row r="275" spans="1:9" x14ac:dyDescent="0.25">
      <c r="A275" s="28">
        <v>10681</v>
      </c>
      <c r="B275" s="29" t="s">
        <v>124</v>
      </c>
      <c r="C275" s="30">
        <v>43003</v>
      </c>
      <c r="D275" s="30">
        <v>43031</v>
      </c>
      <c r="E275" s="30">
        <v>43008</v>
      </c>
      <c r="F275" s="29" t="s">
        <v>647</v>
      </c>
      <c r="G275" s="29">
        <v>380.65</v>
      </c>
      <c r="H275" s="29" t="s">
        <v>344</v>
      </c>
      <c r="I275" s="31" t="str">
        <f t="shared" si="4"/>
        <v>Sep</v>
      </c>
    </row>
    <row r="276" spans="1:9" x14ac:dyDescent="0.25">
      <c r="A276" s="24">
        <v>10816</v>
      </c>
      <c r="B276" s="25" t="s">
        <v>124</v>
      </c>
      <c r="C276" s="26">
        <v>43106</v>
      </c>
      <c r="D276" s="26">
        <v>43134</v>
      </c>
      <c r="E276" s="26">
        <v>43135</v>
      </c>
      <c r="F276" s="25" t="s">
        <v>646</v>
      </c>
      <c r="G276" s="25">
        <v>3598.8999999999996</v>
      </c>
      <c r="H276" s="25" t="s">
        <v>344</v>
      </c>
      <c r="I276" s="27" t="str">
        <f t="shared" si="4"/>
        <v>Jan</v>
      </c>
    </row>
    <row r="277" spans="1:9" x14ac:dyDescent="0.25">
      <c r="A277" s="28">
        <v>10936</v>
      </c>
      <c r="B277" s="29" t="s">
        <v>124</v>
      </c>
      <c r="C277" s="30">
        <v>43168</v>
      </c>
      <c r="D277" s="30">
        <v>43196</v>
      </c>
      <c r="E277" s="30">
        <v>43177</v>
      </c>
      <c r="F277" s="29" t="s">
        <v>646</v>
      </c>
      <c r="G277" s="29">
        <v>168.4</v>
      </c>
      <c r="H277" s="29" t="s">
        <v>344</v>
      </c>
      <c r="I277" s="31" t="str">
        <f t="shared" si="4"/>
        <v>Mar</v>
      </c>
    </row>
    <row r="278" spans="1:9" x14ac:dyDescent="0.25">
      <c r="A278" s="24">
        <v>11006</v>
      </c>
      <c r="B278" s="25" t="s">
        <v>124</v>
      </c>
      <c r="C278" s="26">
        <v>43197</v>
      </c>
      <c r="D278" s="26">
        <v>43225</v>
      </c>
      <c r="E278" s="26">
        <v>43205</v>
      </c>
      <c r="F278" s="25" t="s">
        <v>646</v>
      </c>
      <c r="G278" s="25">
        <v>125.95</v>
      </c>
      <c r="H278" s="25" t="s">
        <v>344</v>
      </c>
      <c r="I278" s="27" t="str">
        <f t="shared" si="4"/>
        <v>Apr</v>
      </c>
    </row>
    <row r="279" spans="1:9" x14ac:dyDescent="0.25">
      <c r="A279" s="28">
        <v>11040</v>
      </c>
      <c r="B279" s="29" t="s">
        <v>124</v>
      </c>
      <c r="C279" s="30">
        <v>43212</v>
      </c>
      <c r="D279" s="30">
        <v>43240</v>
      </c>
      <c r="E279" s="30"/>
      <c r="F279" s="29" t="s">
        <v>647</v>
      </c>
      <c r="G279" s="29">
        <v>94.2</v>
      </c>
      <c r="H279" s="29" t="s">
        <v>344</v>
      </c>
      <c r="I279" s="31" t="str">
        <f t="shared" si="4"/>
        <v>Apr</v>
      </c>
    </row>
    <row r="280" spans="1:9" x14ac:dyDescent="0.25">
      <c r="A280" s="24">
        <v>11061</v>
      </c>
      <c r="B280" s="25" t="s">
        <v>124</v>
      </c>
      <c r="C280" s="26">
        <v>43220</v>
      </c>
      <c r="D280" s="26">
        <v>43262</v>
      </c>
      <c r="E280" s="26"/>
      <c r="F280" s="25" t="s">
        <v>647</v>
      </c>
      <c r="G280" s="25">
        <v>70.05</v>
      </c>
      <c r="H280" s="25" t="s">
        <v>344</v>
      </c>
      <c r="I280" s="27" t="str">
        <f t="shared" si="4"/>
        <v>Apr</v>
      </c>
    </row>
    <row r="281" spans="1:9" x14ac:dyDescent="0.25">
      <c r="A281" s="28">
        <v>10268</v>
      </c>
      <c r="B281" s="29" t="s">
        <v>127</v>
      </c>
      <c r="C281" s="30">
        <v>42581</v>
      </c>
      <c r="D281" s="30">
        <v>42609</v>
      </c>
      <c r="E281" s="30">
        <v>42584</v>
      </c>
      <c r="F281" s="29" t="s">
        <v>647</v>
      </c>
      <c r="G281" s="29">
        <v>331.45000000000005</v>
      </c>
      <c r="H281" s="29" t="s">
        <v>345</v>
      </c>
      <c r="I281" s="31" t="str">
        <f t="shared" si="4"/>
        <v>Jul</v>
      </c>
    </row>
    <row r="282" spans="1:9" x14ac:dyDescent="0.25">
      <c r="A282" s="24">
        <v>10785</v>
      </c>
      <c r="B282" s="25" t="s">
        <v>127</v>
      </c>
      <c r="C282" s="26">
        <v>43087</v>
      </c>
      <c r="D282" s="26">
        <v>43115</v>
      </c>
      <c r="E282" s="26">
        <v>43093</v>
      </c>
      <c r="F282" s="25" t="s">
        <v>647</v>
      </c>
      <c r="G282" s="25">
        <v>7.55</v>
      </c>
      <c r="H282" s="25" t="s">
        <v>345</v>
      </c>
      <c r="I282" s="27" t="str">
        <f t="shared" si="4"/>
        <v>Dec</v>
      </c>
    </row>
    <row r="283" spans="1:9" x14ac:dyDescent="0.25">
      <c r="A283" s="28">
        <v>10250</v>
      </c>
      <c r="B283" s="29" t="s">
        <v>130</v>
      </c>
      <c r="C283" s="30">
        <v>42559</v>
      </c>
      <c r="D283" s="30">
        <v>42587</v>
      </c>
      <c r="E283" s="30">
        <v>42563</v>
      </c>
      <c r="F283" s="29" t="s">
        <v>646</v>
      </c>
      <c r="G283" s="29">
        <v>329.15</v>
      </c>
      <c r="H283" s="29" t="s">
        <v>346</v>
      </c>
      <c r="I283" s="31" t="str">
        <f t="shared" si="4"/>
        <v>Jul</v>
      </c>
    </row>
    <row r="284" spans="1:9" x14ac:dyDescent="0.25">
      <c r="A284" s="24">
        <v>10253</v>
      </c>
      <c r="B284" s="25" t="s">
        <v>130</v>
      </c>
      <c r="C284" s="26">
        <v>42561</v>
      </c>
      <c r="D284" s="26">
        <v>42575</v>
      </c>
      <c r="E284" s="26">
        <v>42567</v>
      </c>
      <c r="F284" s="25" t="s">
        <v>646</v>
      </c>
      <c r="G284" s="25">
        <v>290.85000000000002</v>
      </c>
      <c r="H284" s="25" t="s">
        <v>346</v>
      </c>
      <c r="I284" s="27" t="str">
        <f t="shared" si="4"/>
        <v>Jul</v>
      </c>
    </row>
    <row r="285" spans="1:9" x14ac:dyDescent="0.25">
      <c r="A285" s="28">
        <v>10541</v>
      </c>
      <c r="B285" s="29" t="s">
        <v>130</v>
      </c>
      <c r="C285" s="30">
        <v>42874</v>
      </c>
      <c r="D285" s="30">
        <v>42902</v>
      </c>
      <c r="E285" s="30">
        <v>42884</v>
      </c>
      <c r="F285" s="29" t="s">
        <v>645</v>
      </c>
      <c r="G285" s="29">
        <v>343.25</v>
      </c>
      <c r="H285" s="29" t="s">
        <v>346</v>
      </c>
      <c r="I285" s="31" t="str">
        <f t="shared" si="4"/>
        <v>May</v>
      </c>
    </row>
    <row r="286" spans="1:9" x14ac:dyDescent="0.25">
      <c r="A286" s="24">
        <v>10645</v>
      </c>
      <c r="B286" s="25" t="s">
        <v>130</v>
      </c>
      <c r="C286" s="26">
        <v>42973</v>
      </c>
      <c r="D286" s="26">
        <v>43001</v>
      </c>
      <c r="E286" s="26">
        <v>42980</v>
      </c>
      <c r="F286" s="25" t="s">
        <v>645</v>
      </c>
      <c r="G286" s="25">
        <v>62.05</v>
      </c>
      <c r="H286" s="25" t="s">
        <v>346</v>
      </c>
      <c r="I286" s="27" t="str">
        <f t="shared" si="4"/>
        <v>Aug</v>
      </c>
    </row>
    <row r="287" spans="1:9" x14ac:dyDescent="0.25">
      <c r="A287" s="28">
        <v>10690</v>
      </c>
      <c r="B287" s="29" t="s">
        <v>130</v>
      </c>
      <c r="C287" s="30">
        <v>43010</v>
      </c>
      <c r="D287" s="30">
        <v>43038</v>
      </c>
      <c r="E287" s="30">
        <v>43011</v>
      </c>
      <c r="F287" s="29" t="s">
        <v>645</v>
      </c>
      <c r="G287" s="29">
        <v>79</v>
      </c>
      <c r="H287" s="29" t="s">
        <v>346</v>
      </c>
      <c r="I287" s="31" t="str">
        <f t="shared" si="4"/>
        <v>Oct</v>
      </c>
    </row>
    <row r="288" spans="1:9" x14ac:dyDescent="0.25">
      <c r="A288" s="24">
        <v>10770</v>
      </c>
      <c r="B288" s="25" t="s">
        <v>130</v>
      </c>
      <c r="C288" s="26">
        <v>43078</v>
      </c>
      <c r="D288" s="26">
        <v>43106</v>
      </c>
      <c r="E288" s="26">
        <v>43086</v>
      </c>
      <c r="F288" s="25" t="s">
        <v>647</v>
      </c>
      <c r="G288" s="25">
        <v>26.6</v>
      </c>
      <c r="H288" s="25" t="s">
        <v>346</v>
      </c>
      <c r="I288" s="27" t="str">
        <f t="shared" si="4"/>
        <v>Dec</v>
      </c>
    </row>
    <row r="289" spans="1:9" x14ac:dyDescent="0.25">
      <c r="A289" s="28">
        <v>10783</v>
      </c>
      <c r="B289" s="29" t="s">
        <v>130</v>
      </c>
      <c r="C289" s="30">
        <v>43087</v>
      </c>
      <c r="D289" s="30">
        <v>43115</v>
      </c>
      <c r="E289" s="30">
        <v>43088</v>
      </c>
      <c r="F289" s="29" t="s">
        <v>646</v>
      </c>
      <c r="G289" s="29">
        <v>624.9</v>
      </c>
      <c r="H289" s="29" t="s">
        <v>346</v>
      </c>
      <c r="I289" s="31" t="str">
        <f t="shared" si="4"/>
        <v>Dec</v>
      </c>
    </row>
    <row r="290" spans="1:9" x14ac:dyDescent="0.25">
      <c r="A290" s="24">
        <v>10886</v>
      </c>
      <c r="B290" s="25" t="s">
        <v>130</v>
      </c>
      <c r="C290" s="26">
        <v>43144</v>
      </c>
      <c r="D290" s="26">
        <v>43172</v>
      </c>
      <c r="E290" s="26">
        <v>43161</v>
      </c>
      <c r="F290" s="25" t="s">
        <v>645</v>
      </c>
      <c r="G290" s="25">
        <v>24.950000000000003</v>
      </c>
      <c r="H290" s="25" t="s">
        <v>346</v>
      </c>
      <c r="I290" s="27" t="str">
        <f t="shared" si="4"/>
        <v>Feb</v>
      </c>
    </row>
    <row r="291" spans="1:9" x14ac:dyDescent="0.25">
      <c r="A291" s="28">
        <v>10903</v>
      </c>
      <c r="B291" s="29" t="s">
        <v>130</v>
      </c>
      <c r="C291" s="30">
        <v>43155</v>
      </c>
      <c r="D291" s="30">
        <v>43183</v>
      </c>
      <c r="E291" s="30">
        <v>43163</v>
      </c>
      <c r="F291" s="29" t="s">
        <v>647</v>
      </c>
      <c r="G291" s="29">
        <v>183.55</v>
      </c>
      <c r="H291" s="29" t="s">
        <v>346</v>
      </c>
      <c r="I291" s="31" t="str">
        <f t="shared" si="4"/>
        <v>Feb</v>
      </c>
    </row>
    <row r="292" spans="1:9" x14ac:dyDescent="0.25">
      <c r="A292" s="24">
        <v>10922</v>
      </c>
      <c r="B292" s="25" t="s">
        <v>130</v>
      </c>
      <c r="C292" s="26">
        <v>43162</v>
      </c>
      <c r="D292" s="26">
        <v>43190</v>
      </c>
      <c r="E292" s="26">
        <v>43164</v>
      </c>
      <c r="F292" s="25" t="s">
        <v>647</v>
      </c>
      <c r="G292" s="25">
        <v>313.7</v>
      </c>
      <c r="H292" s="25" t="s">
        <v>346</v>
      </c>
      <c r="I292" s="27" t="str">
        <f t="shared" si="4"/>
        <v>Mar</v>
      </c>
    </row>
    <row r="293" spans="1:9" x14ac:dyDescent="0.25">
      <c r="A293" s="28">
        <v>10925</v>
      </c>
      <c r="B293" s="29" t="s">
        <v>130</v>
      </c>
      <c r="C293" s="30">
        <v>43163</v>
      </c>
      <c r="D293" s="30">
        <v>43191</v>
      </c>
      <c r="E293" s="30">
        <v>43172</v>
      </c>
      <c r="F293" s="29" t="s">
        <v>645</v>
      </c>
      <c r="G293" s="29">
        <v>11.35</v>
      </c>
      <c r="H293" s="29" t="s">
        <v>346</v>
      </c>
      <c r="I293" s="31" t="str">
        <f t="shared" si="4"/>
        <v>Mar</v>
      </c>
    </row>
    <row r="294" spans="1:9" x14ac:dyDescent="0.25">
      <c r="A294" s="24">
        <v>10981</v>
      </c>
      <c r="B294" s="25" t="s">
        <v>130</v>
      </c>
      <c r="C294" s="26">
        <v>43186</v>
      </c>
      <c r="D294" s="26">
        <v>43214</v>
      </c>
      <c r="E294" s="26">
        <v>43192</v>
      </c>
      <c r="F294" s="25" t="s">
        <v>646</v>
      </c>
      <c r="G294" s="25">
        <v>966.85</v>
      </c>
      <c r="H294" s="25" t="s">
        <v>346</v>
      </c>
      <c r="I294" s="27" t="str">
        <f t="shared" si="4"/>
        <v>Mar</v>
      </c>
    </row>
    <row r="295" spans="1:9" x14ac:dyDescent="0.25">
      <c r="A295" s="28">
        <v>11022</v>
      </c>
      <c r="B295" s="29" t="s">
        <v>130</v>
      </c>
      <c r="C295" s="30">
        <v>43204</v>
      </c>
      <c r="D295" s="30">
        <v>43232</v>
      </c>
      <c r="E295" s="30">
        <v>43224</v>
      </c>
      <c r="F295" s="29" t="s">
        <v>646</v>
      </c>
      <c r="G295" s="29">
        <v>31.349999999999998</v>
      </c>
      <c r="H295" s="29" t="s">
        <v>346</v>
      </c>
      <c r="I295" s="31" t="str">
        <f t="shared" si="4"/>
        <v>Apr</v>
      </c>
    </row>
    <row r="296" spans="1:9" x14ac:dyDescent="0.25">
      <c r="A296" s="24">
        <v>11052</v>
      </c>
      <c r="B296" s="25" t="s">
        <v>130</v>
      </c>
      <c r="C296" s="26">
        <v>43217</v>
      </c>
      <c r="D296" s="26">
        <v>43245</v>
      </c>
      <c r="E296" s="26">
        <v>43221</v>
      </c>
      <c r="F296" s="25" t="s">
        <v>645</v>
      </c>
      <c r="G296" s="25">
        <v>336.3</v>
      </c>
      <c r="H296" s="25" t="s">
        <v>346</v>
      </c>
      <c r="I296" s="27" t="str">
        <f t="shared" si="4"/>
        <v>Apr</v>
      </c>
    </row>
    <row r="297" spans="1:9" x14ac:dyDescent="0.25">
      <c r="A297" s="28">
        <v>10257</v>
      </c>
      <c r="B297" s="29" t="s">
        <v>134</v>
      </c>
      <c r="C297" s="30">
        <v>42567</v>
      </c>
      <c r="D297" s="30">
        <v>42595</v>
      </c>
      <c r="E297" s="30">
        <v>42573</v>
      </c>
      <c r="F297" s="29" t="s">
        <v>647</v>
      </c>
      <c r="G297" s="29">
        <v>409.54999999999995</v>
      </c>
      <c r="H297" s="29" t="s">
        <v>347</v>
      </c>
      <c r="I297" s="31" t="str">
        <f t="shared" si="4"/>
        <v>Jul</v>
      </c>
    </row>
    <row r="298" spans="1:9" x14ac:dyDescent="0.25">
      <c r="A298" s="24">
        <v>10395</v>
      </c>
      <c r="B298" s="25" t="s">
        <v>134</v>
      </c>
      <c r="C298" s="26">
        <v>42730</v>
      </c>
      <c r="D298" s="26">
        <v>42758</v>
      </c>
      <c r="E298" s="26">
        <v>42738</v>
      </c>
      <c r="F298" s="25" t="s">
        <v>645</v>
      </c>
      <c r="G298" s="25">
        <v>922.05</v>
      </c>
      <c r="H298" s="25" t="s">
        <v>347</v>
      </c>
      <c r="I298" s="27" t="str">
        <f t="shared" si="4"/>
        <v>Dec</v>
      </c>
    </row>
    <row r="299" spans="1:9" x14ac:dyDescent="0.25">
      <c r="A299" s="28">
        <v>10476</v>
      </c>
      <c r="B299" s="29" t="s">
        <v>134</v>
      </c>
      <c r="C299" s="30">
        <v>42811</v>
      </c>
      <c r="D299" s="30">
        <v>42839</v>
      </c>
      <c r="E299" s="30">
        <v>42818</v>
      </c>
      <c r="F299" s="29" t="s">
        <v>647</v>
      </c>
      <c r="G299" s="29">
        <v>22.05</v>
      </c>
      <c r="H299" s="29" t="s">
        <v>347</v>
      </c>
      <c r="I299" s="31" t="str">
        <f t="shared" si="4"/>
        <v>Mar</v>
      </c>
    </row>
    <row r="300" spans="1:9" x14ac:dyDescent="0.25">
      <c r="A300" s="24">
        <v>10486</v>
      </c>
      <c r="B300" s="25" t="s">
        <v>134</v>
      </c>
      <c r="C300" s="26">
        <v>42820</v>
      </c>
      <c r="D300" s="26">
        <v>42848</v>
      </c>
      <c r="E300" s="26">
        <v>42827</v>
      </c>
      <c r="F300" s="25" t="s">
        <v>646</v>
      </c>
      <c r="G300" s="25">
        <v>152.65</v>
      </c>
      <c r="H300" s="25" t="s">
        <v>347</v>
      </c>
      <c r="I300" s="27" t="str">
        <f t="shared" si="4"/>
        <v>Mar</v>
      </c>
    </row>
    <row r="301" spans="1:9" x14ac:dyDescent="0.25">
      <c r="A301" s="28">
        <v>10490</v>
      </c>
      <c r="B301" s="29" t="s">
        <v>134</v>
      </c>
      <c r="C301" s="30">
        <v>42825</v>
      </c>
      <c r="D301" s="30">
        <v>42853</v>
      </c>
      <c r="E301" s="30">
        <v>42828</v>
      </c>
      <c r="F301" s="29" t="s">
        <v>646</v>
      </c>
      <c r="G301" s="29">
        <v>1050.95</v>
      </c>
      <c r="H301" s="29" t="s">
        <v>347</v>
      </c>
      <c r="I301" s="31" t="str">
        <f t="shared" si="4"/>
        <v>Mar</v>
      </c>
    </row>
    <row r="302" spans="1:9" x14ac:dyDescent="0.25">
      <c r="A302" s="24">
        <v>10498</v>
      </c>
      <c r="B302" s="25" t="s">
        <v>134</v>
      </c>
      <c r="C302" s="26">
        <v>42832</v>
      </c>
      <c r="D302" s="26">
        <v>42860</v>
      </c>
      <c r="E302" s="26">
        <v>42836</v>
      </c>
      <c r="F302" s="25" t="s">
        <v>646</v>
      </c>
      <c r="G302" s="25">
        <v>148.75</v>
      </c>
      <c r="H302" s="25" t="s">
        <v>347</v>
      </c>
      <c r="I302" s="27" t="str">
        <f t="shared" si="4"/>
        <v>Apr</v>
      </c>
    </row>
    <row r="303" spans="1:9" x14ac:dyDescent="0.25">
      <c r="A303" s="28">
        <v>10552</v>
      </c>
      <c r="B303" s="29" t="s">
        <v>134</v>
      </c>
      <c r="C303" s="30">
        <v>42884</v>
      </c>
      <c r="D303" s="30">
        <v>42912</v>
      </c>
      <c r="E303" s="30">
        <v>42891</v>
      </c>
      <c r="F303" s="29" t="s">
        <v>645</v>
      </c>
      <c r="G303" s="29">
        <v>416.1</v>
      </c>
      <c r="H303" s="29" t="s">
        <v>347</v>
      </c>
      <c r="I303" s="31" t="str">
        <f t="shared" si="4"/>
        <v>May</v>
      </c>
    </row>
    <row r="304" spans="1:9" x14ac:dyDescent="0.25">
      <c r="A304" s="24">
        <v>10601</v>
      </c>
      <c r="B304" s="25" t="s">
        <v>134</v>
      </c>
      <c r="C304" s="26">
        <v>42932</v>
      </c>
      <c r="D304" s="26">
        <v>42974</v>
      </c>
      <c r="E304" s="26">
        <v>42938</v>
      </c>
      <c r="F304" s="25" t="s">
        <v>645</v>
      </c>
      <c r="G304" s="25">
        <v>291.5</v>
      </c>
      <c r="H304" s="25" t="s">
        <v>347</v>
      </c>
      <c r="I304" s="27" t="str">
        <f t="shared" si="4"/>
        <v>Jul</v>
      </c>
    </row>
    <row r="305" spans="1:9" x14ac:dyDescent="0.25">
      <c r="A305" s="28">
        <v>10613</v>
      </c>
      <c r="B305" s="29" t="s">
        <v>134</v>
      </c>
      <c r="C305" s="30">
        <v>42945</v>
      </c>
      <c r="D305" s="30">
        <v>42973</v>
      </c>
      <c r="E305" s="30">
        <v>42948</v>
      </c>
      <c r="F305" s="29" t="s">
        <v>646</v>
      </c>
      <c r="G305" s="29">
        <v>40.549999999999997</v>
      </c>
      <c r="H305" s="29" t="s">
        <v>347</v>
      </c>
      <c r="I305" s="31" t="str">
        <f t="shared" si="4"/>
        <v>Jul</v>
      </c>
    </row>
    <row r="306" spans="1:9" x14ac:dyDescent="0.25">
      <c r="A306" s="24">
        <v>10641</v>
      </c>
      <c r="B306" s="25" t="s">
        <v>134</v>
      </c>
      <c r="C306" s="26">
        <v>42969</v>
      </c>
      <c r="D306" s="26">
        <v>42997</v>
      </c>
      <c r="E306" s="26">
        <v>42973</v>
      </c>
      <c r="F306" s="25" t="s">
        <v>646</v>
      </c>
      <c r="G306" s="25">
        <v>898.05000000000007</v>
      </c>
      <c r="H306" s="25" t="s">
        <v>347</v>
      </c>
      <c r="I306" s="27" t="str">
        <f t="shared" si="4"/>
        <v>Aug</v>
      </c>
    </row>
    <row r="307" spans="1:9" x14ac:dyDescent="0.25">
      <c r="A307" s="28">
        <v>10705</v>
      </c>
      <c r="B307" s="29" t="s">
        <v>134</v>
      </c>
      <c r="C307" s="30">
        <v>43023</v>
      </c>
      <c r="D307" s="30">
        <v>43051</v>
      </c>
      <c r="E307" s="30">
        <v>43057</v>
      </c>
      <c r="F307" s="29" t="s">
        <v>646</v>
      </c>
      <c r="G307" s="29">
        <v>17.600000000000001</v>
      </c>
      <c r="H307" s="29" t="s">
        <v>347</v>
      </c>
      <c r="I307" s="31" t="str">
        <f t="shared" si="4"/>
        <v>Oct</v>
      </c>
    </row>
    <row r="308" spans="1:9" x14ac:dyDescent="0.25">
      <c r="A308" s="24">
        <v>10796</v>
      </c>
      <c r="B308" s="25" t="s">
        <v>134</v>
      </c>
      <c r="C308" s="26">
        <v>43094</v>
      </c>
      <c r="D308" s="26">
        <v>43122</v>
      </c>
      <c r="E308" s="26">
        <v>43114</v>
      </c>
      <c r="F308" s="25" t="s">
        <v>645</v>
      </c>
      <c r="G308" s="25">
        <v>132.6</v>
      </c>
      <c r="H308" s="25" t="s">
        <v>347</v>
      </c>
      <c r="I308" s="27" t="str">
        <f t="shared" si="4"/>
        <v>Dec</v>
      </c>
    </row>
    <row r="309" spans="1:9" x14ac:dyDescent="0.25">
      <c r="A309" s="28">
        <v>10863</v>
      </c>
      <c r="B309" s="29" t="s">
        <v>134</v>
      </c>
      <c r="C309" s="30">
        <v>43133</v>
      </c>
      <c r="D309" s="30">
        <v>43161</v>
      </c>
      <c r="E309" s="30">
        <v>43148</v>
      </c>
      <c r="F309" s="29" t="s">
        <v>646</v>
      </c>
      <c r="G309" s="29">
        <v>151.30000000000001</v>
      </c>
      <c r="H309" s="29" t="s">
        <v>347</v>
      </c>
      <c r="I309" s="31" t="str">
        <f t="shared" si="4"/>
        <v>Feb</v>
      </c>
    </row>
    <row r="310" spans="1:9" x14ac:dyDescent="0.25">
      <c r="A310" s="24">
        <v>10901</v>
      </c>
      <c r="B310" s="25" t="s">
        <v>134</v>
      </c>
      <c r="C310" s="26">
        <v>43154</v>
      </c>
      <c r="D310" s="26">
        <v>43182</v>
      </c>
      <c r="E310" s="26">
        <v>43157</v>
      </c>
      <c r="F310" s="25" t="s">
        <v>645</v>
      </c>
      <c r="G310" s="25">
        <v>310.45000000000005</v>
      </c>
      <c r="H310" s="25" t="s">
        <v>347</v>
      </c>
      <c r="I310" s="27" t="str">
        <f t="shared" si="4"/>
        <v>Feb</v>
      </c>
    </row>
    <row r="311" spans="1:9" x14ac:dyDescent="0.25">
      <c r="A311" s="28">
        <v>10957</v>
      </c>
      <c r="B311" s="29" t="s">
        <v>134</v>
      </c>
      <c r="C311" s="30">
        <v>43177</v>
      </c>
      <c r="D311" s="30">
        <v>43205</v>
      </c>
      <c r="E311" s="30">
        <v>43186</v>
      </c>
      <c r="F311" s="29" t="s">
        <v>647</v>
      </c>
      <c r="G311" s="29">
        <v>526.79999999999995</v>
      </c>
      <c r="H311" s="29" t="s">
        <v>347</v>
      </c>
      <c r="I311" s="31" t="str">
        <f t="shared" si="4"/>
        <v>Mar</v>
      </c>
    </row>
    <row r="312" spans="1:9" x14ac:dyDescent="0.25">
      <c r="A312" s="24">
        <v>10960</v>
      </c>
      <c r="B312" s="25" t="s">
        <v>134</v>
      </c>
      <c r="C312" s="26">
        <v>43178</v>
      </c>
      <c r="D312" s="26">
        <v>43192</v>
      </c>
      <c r="E312" s="26">
        <v>43198</v>
      </c>
      <c r="F312" s="25" t="s">
        <v>645</v>
      </c>
      <c r="G312" s="25">
        <v>10.4</v>
      </c>
      <c r="H312" s="25" t="s">
        <v>347</v>
      </c>
      <c r="I312" s="27" t="str">
        <f t="shared" si="4"/>
        <v>Mar</v>
      </c>
    </row>
    <row r="313" spans="1:9" x14ac:dyDescent="0.25">
      <c r="A313" s="28">
        <v>10976</v>
      </c>
      <c r="B313" s="29" t="s">
        <v>134</v>
      </c>
      <c r="C313" s="30">
        <v>43184</v>
      </c>
      <c r="D313" s="30">
        <v>43226</v>
      </c>
      <c r="E313" s="30">
        <v>43193</v>
      </c>
      <c r="F313" s="29" t="s">
        <v>645</v>
      </c>
      <c r="G313" s="29">
        <v>189.85</v>
      </c>
      <c r="H313" s="29" t="s">
        <v>347</v>
      </c>
      <c r="I313" s="31" t="str">
        <f t="shared" si="4"/>
        <v>Mar</v>
      </c>
    </row>
    <row r="314" spans="1:9" x14ac:dyDescent="0.25">
      <c r="A314" s="24">
        <v>11055</v>
      </c>
      <c r="B314" s="25" t="s">
        <v>134</v>
      </c>
      <c r="C314" s="26">
        <v>43218</v>
      </c>
      <c r="D314" s="26">
        <v>43246</v>
      </c>
      <c r="E314" s="26">
        <v>43225</v>
      </c>
      <c r="F314" s="25" t="s">
        <v>646</v>
      </c>
      <c r="G314" s="25">
        <v>604.6</v>
      </c>
      <c r="H314" s="25" t="s">
        <v>347</v>
      </c>
      <c r="I314" s="27" t="str">
        <f t="shared" si="4"/>
        <v>Apr</v>
      </c>
    </row>
    <row r="315" spans="1:9" x14ac:dyDescent="0.25">
      <c r="A315" s="28">
        <v>10375</v>
      </c>
      <c r="B315" s="29" t="s">
        <v>137</v>
      </c>
      <c r="C315" s="30">
        <v>42710</v>
      </c>
      <c r="D315" s="30">
        <v>42738</v>
      </c>
      <c r="E315" s="30">
        <v>42713</v>
      </c>
      <c r="F315" s="29" t="s">
        <v>646</v>
      </c>
      <c r="G315" s="29">
        <v>100.60000000000001</v>
      </c>
      <c r="H315" s="29" t="s">
        <v>348</v>
      </c>
      <c r="I315" s="31" t="str">
        <f t="shared" si="4"/>
        <v>Dec</v>
      </c>
    </row>
    <row r="316" spans="1:9" x14ac:dyDescent="0.25">
      <c r="A316" s="24">
        <v>10394</v>
      </c>
      <c r="B316" s="25" t="s">
        <v>137</v>
      </c>
      <c r="C316" s="26">
        <v>42729</v>
      </c>
      <c r="D316" s="26">
        <v>42757</v>
      </c>
      <c r="E316" s="26">
        <v>42738</v>
      </c>
      <c r="F316" s="25" t="s">
        <v>647</v>
      </c>
      <c r="G316" s="25">
        <v>151.69999999999999</v>
      </c>
      <c r="H316" s="25" t="s">
        <v>348</v>
      </c>
      <c r="I316" s="27" t="str">
        <f t="shared" si="4"/>
        <v>Dec</v>
      </c>
    </row>
    <row r="317" spans="1:9" x14ac:dyDescent="0.25">
      <c r="A317" s="28">
        <v>10415</v>
      </c>
      <c r="B317" s="29" t="s">
        <v>137</v>
      </c>
      <c r="C317" s="30">
        <v>42750</v>
      </c>
      <c r="D317" s="30">
        <v>42778</v>
      </c>
      <c r="E317" s="30">
        <v>42759</v>
      </c>
      <c r="F317" s="29" t="s">
        <v>645</v>
      </c>
      <c r="G317" s="29">
        <v>1</v>
      </c>
      <c r="H317" s="29" t="s">
        <v>348</v>
      </c>
      <c r="I317" s="31" t="str">
        <f t="shared" si="4"/>
        <v>Jan</v>
      </c>
    </row>
    <row r="318" spans="1:9" x14ac:dyDescent="0.25">
      <c r="A318" s="24">
        <v>10600</v>
      </c>
      <c r="B318" s="25" t="s">
        <v>137</v>
      </c>
      <c r="C318" s="26">
        <v>42932</v>
      </c>
      <c r="D318" s="26">
        <v>42960</v>
      </c>
      <c r="E318" s="26">
        <v>42937</v>
      </c>
      <c r="F318" s="25" t="s">
        <v>645</v>
      </c>
      <c r="G318" s="25">
        <v>225.65</v>
      </c>
      <c r="H318" s="25" t="s">
        <v>348</v>
      </c>
      <c r="I318" s="27" t="str">
        <f t="shared" si="4"/>
        <v>Jul</v>
      </c>
    </row>
    <row r="319" spans="1:9" x14ac:dyDescent="0.25">
      <c r="A319" s="28">
        <v>10660</v>
      </c>
      <c r="B319" s="29" t="s">
        <v>137</v>
      </c>
      <c r="C319" s="30">
        <v>42986</v>
      </c>
      <c r="D319" s="30">
        <v>43014</v>
      </c>
      <c r="E319" s="30">
        <v>43023</v>
      </c>
      <c r="F319" s="29" t="s">
        <v>645</v>
      </c>
      <c r="G319" s="29">
        <v>556.45000000000005</v>
      </c>
      <c r="H319" s="29" t="s">
        <v>348</v>
      </c>
      <c r="I319" s="31" t="str">
        <f t="shared" si="4"/>
        <v>Sep</v>
      </c>
    </row>
    <row r="320" spans="1:9" x14ac:dyDescent="0.25">
      <c r="A320" s="24">
        <v>10298</v>
      </c>
      <c r="B320" s="25" t="s">
        <v>140</v>
      </c>
      <c r="C320" s="26">
        <v>42618</v>
      </c>
      <c r="D320" s="26">
        <v>42646</v>
      </c>
      <c r="E320" s="26">
        <v>42624</v>
      </c>
      <c r="F320" s="25" t="s">
        <v>646</v>
      </c>
      <c r="G320" s="25">
        <v>841.1</v>
      </c>
      <c r="H320" s="25" t="s">
        <v>349</v>
      </c>
      <c r="I320" s="27" t="str">
        <f t="shared" si="4"/>
        <v>Sep</v>
      </c>
    </row>
    <row r="321" spans="1:9" x14ac:dyDescent="0.25">
      <c r="A321" s="28">
        <v>10309</v>
      </c>
      <c r="B321" s="29" t="s">
        <v>140</v>
      </c>
      <c r="C321" s="30">
        <v>42632</v>
      </c>
      <c r="D321" s="30">
        <v>42660</v>
      </c>
      <c r="E321" s="30">
        <v>42666</v>
      </c>
      <c r="F321" s="29" t="s">
        <v>645</v>
      </c>
      <c r="G321" s="29">
        <v>236.5</v>
      </c>
      <c r="H321" s="29" t="s">
        <v>349</v>
      </c>
      <c r="I321" s="31" t="str">
        <f t="shared" si="4"/>
        <v>Sep</v>
      </c>
    </row>
    <row r="322" spans="1:9" x14ac:dyDescent="0.25">
      <c r="A322" s="24">
        <v>10335</v>
      </c>
      <c r="B322" s="25" t="s">
        <v>140</v>
      </c>
      <c r="C322" s="26">
        <v>42665</v>
      </c>
      <c r="D322" s="26">
        <v>42693</v>
      </c>
      <c r="E322" s="26">
        <v>42667</v>
      </c>
      <c r="F322" s="25" t="s">
        <v>646</v>
      </c>
      <c r="G322" s="25">
        <v>210.55</v>
      </c>
      <c r="H322" s="25" t="s">
        <v>349</v>
      </c>
      <c r="I322" s="27" t="str">
        <f t="shared" si="4"/>
        <v>Oct</v>
      </c>
    </row>
    <row r="323" spans="1:9" x14ac:dyDescent="0.25">
      <c r="A323" s="28">
        <v>10373</v>
      </c>
      <c r="B323" s="29" t="s">
        <v>140</v>
      </c>
      <c r="C323" s="30">
        <v>42709</v>
      </c>
      <c r="D323" s="30">
        <v>42737</v>
      </c>
      <c r="E323" s="30">
        <v>42715</v>
      </c>
      <c r="F323" s="29" t="s">
        <v>647</v>
      </c>
      <c r="G323" s="29">
        <v>620.6</v>
      </c>
      <c r="H323" s="29" t="s">
        <v>349</v>
      </c>
      <c r="I323" s="31" t="str">
        <f t="shared" ref="I323:I386" si="5">TEXT(C323,"mmm")</f>
        <v>Dec</v>
      </c>
    </row>
    <row r="324" spans="1:9" x14ac:dyDescent="0.25">
      <c r="A324" s="24">
        <v>10380</v>
      </c>
      <c r="B324" s="25" t="s">
        <v>140</v>
      </c>
      <c r="C324" s="26">
        <v>42716</v>
      </c>
      <c r="D324" s="26">
        <v>42744</v>
      </c>
      <c r="E324" s="26">
        <v>42751</v>
      </c>
      <c r="F324" s="25" t="s">
        <v>647</v>
      </c>
      <c r="G324" s="25">
        <v>175.15</v>
      </c>
      <c r="H324" s="25" t="s">
        <v>349</v>
      </c>
      <c r="I324" s="27" t="str">
        <f t="shared" si="5"/>
        <v>Dec</v>
      </c>
    </row>
    <row r="325" spans="1:9" x14ac:dyDescent="0.25">
      <c r="A325" s="28">
        <v>10429</v>
      </c>
      <c r="B325" s="29" t="s">
        <v>140</v>
      </c>
      <c r="C325" s="30">
        <v>42764</v>
      </c>
      <c r="D325" s="30">
        <v>42806</v>
      </c>
      <c r="E325" s="30">
        <v>42773</v>
      </c>
      <c r="F325" s="29" t="s">
        <v>646</v>
      </c>
      <c r="G325" s="29">
        <v>283.15000000000003</v>
      </c>
      <c r="H325" s="29" t="s">
        <v>349</v>
      </c>
      <c r="I325" s="31" t="str">
        <f t="shared" si="5"/>
        <v>Jan</v>
      </c>
    </row>
    <row r="326" spans="1:9" x14ac:dyDescent="0.25">
      <c r="A326" s="24">
        <v>10503</v>
      </c>
      <c r="B326" s="25" t="s">
        <v>140</v>
      </c>
      <c r="C326" s="26">
        <v>42836</v>
      </c>
      <c r="D326" s="26">
        <v>42864</v>
      </c>
      <c r="E326" s="26">
        <v>42841</v>
      </c>
      <c r="F326" s="25" t="s">
        <v>646</v>
      </c>
      <c r="G326" s="25">
        <v>83.699999999999989</v>
      </c>
      <c r="H326" s="25" t="s">
        <v>349</v>
      </c>
      <c r="I326" s="27" t="str">
        <f t="shared" si="5"/>
        <v>Apr</v>
      </c>
    </row>
    <row r="327" spans="1:9" x14ac:dyDescent="0.25">
      <c r="A327" s="28">
        <v>10516</v>
      </c>
      <c r="B327" s="29" t="s">
        <v>140</v>
      </c>
      <c r="C327" s="30">
        <v>42849</v>
      </c>
      <c r="D327" s="30">
        <v>42877</v>
      </c>
      <c r="E327" s="30">
        <v>42856</v>
      </c>
      <c r="F327" s="29" t="s">
        <v>647</v>
      </c>
      <c r="G327" s="29">
        <v>313.89999999999998</v>
      </c>
      <c r="H327" s="29" t="s">
        <v>349</v>
      </c>
      <c r="I327" s="31" t="str">
        <f t="shared" si="5"/>
        <v>Apr</v>
      </c>
    </row>
    <row r="328" spans="1:9" x14ac:dyDescent="0.25">
      <c r="A328" s="24">
        <v>10567</v>
      </c>
      <c r="B328" s="25" t="s">
        <v>140</v>
      </c>
      <c r="C328" s="26">
        <v>42898</v>
      </c>
      <c r="D328" s="26">
        <v>42926</v>
      </c>
      <c r="E328" s="26">
        <v>42903</v>
      </c>
      <c r="F328" s="25" t="s">
        <v>645</v>
      </c>
      <c r="G328" s="25">
        <v>169.85</v>
      </c>
      <c r="H328" s="25" t="s">
        <v>349</v>
      </c>
      <c r="I328" s="27" t="str">
        <f t="shared" si="5"/>
        <v>Jun</v>
      </c>
    </row>
    <row r="329" spans="1:9" x14ac:dyDescent="0.25">
      <c r="A329" s="28">
        <v>10646</v>
      </c>
      <c r="B329" s="29" t="s">
        <v>140</v>
      </c>
      <c r="C329" s="30">
        <v>42974</v>
      </c>
      <c r="D329" s="30">
        <v>43016</v>
      </c>
      <c r="E329" s="30">
        <v>42981</v>
      </c>
      <c r="F329" s="29" t="s">
        <v>647</v>
      </c>
      <c r="G329" s="29">
        <v>711.65000000000009</v>
      </c>
      <c r="H329" s="29" t="s">
        <v>349</v>
      </c>
      <c r="I329" s="31" t="str">
        <f t="shared" si="5"/>
        <v>Aug</v>
      </c>
    </row>
    <row r="330" spans="1:9" x14ac:dyDescent="0.25">
      <c r="A330" s="24">
        <v>10661</v>
      </c>
      <c r="B330" s="25" t="s">
        <v>140</v>
      </c>
      <c r="C330" s="26">
        <v>42987</v>
      </c>
      <c r="D330" s="26">
        <v>43015</v>
      </c>
      <c r="E330" s="26">
        <v>42993</v>
      </c>
      <c r="F330" s="25" t="s">
        <v>647</v>
      </c>
      <c r="G330" s="25">
        <v>87.75</v>
      </c>
      <c r="H330" s="25" t="s">
        <v>349</v>
      </c>
      <c r="I330" s="27" t="str">
        <f t="shared" si="5"/>
        <v>Sep</v>
      </c>
    </row>
    <row r="331" spans="1:9" x14ac:dyDescent="0.25">
      <c r="A331" s="28">
        <v>10687</v>
      </c>
      <c r="B331" s="29" t="s">
        <v>140</v>
      </c>
      <c r="C331" s="30">
        <v>43008</v>
      </c>
      <c r="D331" s="30">
        <v>43036</v>
      </c>
      <c r="E331" s="30">
        <v>43038</v>
      </c>
      <c r="F331" s="29" t="s">
        <v>646</v>
      </c>
      <c r="G331" s="29">
        <v>1482.15</v>
      </c>
      <c r="H331" s="29" t="s">
        <v>349</v>
      </c>
      <c r="I331" s="31" t="str">
        <f t="shared" si="5"/>
        <v>Sep</v>
      </c>
    </row>
    <row r="332" spans="1:9" x14ac:dyDescent="0.25">
      <c r="A332" s="24">
        <v>10701</v>
      </c>
      <c r="B332" s="25" t="s">
        <v>140</v>
      </c>
      <c r="C332" s="26">
        <v>43021</v>
      </c>
      <c r="D332" s="26">
        <v>43035</v>
      </c>
      <c r="E332" s="26">
        <v>43023</v>
      </c>
      <c r="F332" s="25" t="s">
        <v>647</v>
      </c>
      <c r="G332" s="25">
        <v>1101.55</v>
      </c>
      <c r="H332" s="25" t="s">
        <v>349</v>
      </c>
      <c r="I332" s="27" t="str">
        <f t="shared" si="5"/>
        <v>Oct</v>
      </c>
    </row>
    <row r="333" spans="1:9" x14ac:dyDescent="0.25">
      <c r="A333" s="28">
        <v>10712</v>
      </c>
      <c r="B333" s="29" t="s">
        <v>140</v>
      </c>
      <c r="C333" s="30">
        <v>43029</v>
      </c>
      <c r="D333" s="30">
        <v>43057</v>
      </c>
      <c r="E333" s="30">
        <v>43039</v>
      </c>
      <c r="F333" s="29" t="s">
        <v>645</v>
      </c>
      <c r="G333" s="29">
        <v>449.65000000000003</v>
      </c>
      <c r="H333" s="29" t="s">
        <v>349</v>
      </c>
      <c r="I333" s="31" t="str">
        <f t="shared" si="5"/>
        <v>Oct</v>
      </c>
    </row>
    <row r="334" spans="1:9" x14ac:dyDescent="0.25">
      <c r="A334" s="24">
        <v>10736</v>
      </c>
      <c r="B334" s="25" t="s">
        <v>140</v>
      </c>
      <c r="C334" s="26">
        <v>43050</v>
      </c>
      <c r="D334" s="26">
        <v>43078</v>
      </c>
      <c r="E334" s="26">
        <v>43060</v>
      </c>
      <c r="F334" s="25" t="s">
        <v>646</v>
      </c>
      <c r="G334" s="25">
        <v>220.5</v>
      </c>
      <c r="H334" s="25" t="s">
        <v>349</v>
      </c>
      <c r="I334" s="27" t="str">
        <f t="shared" si="5"/>
        <v>Nov</v>
      </c>
    </row>
    <row r="335" spans="1:9" x14ac:dyDescent="0.25">
      <c r="A335" s="28">
        <v>10897</v>
      </c>
      <c r="B335" s="29" t="s">
        <v>140</v>
      </c>
      <c r="C335" s="30">
        <v>43150</v>
      </c>
      <c r="D335" s="30">
        <v>43178</v>
      </c>
      <c r="E335" s="30">
        <v>43156</v>
      </c>
      <c r="F335" s="29" t="s">
        <v>646</v>
      </c>
      <c r="G335" s="29">
        <v>3017.7</v>
      </c>
      <c r="H335" s="29" t="s">
        <v>349</v>
      </c>
      <c r="I335" s="31" t="str">
        <f t="shared" si="5"/>
        <v>Feb</v>
      </c>
    </row>
    <row r="336" spans="1:9" x14ac:dyDescent="0.25">
      <c r="A336" s="24">
        <v>10912</v>
      </c>
      <c r="B336" s="25" t="s">
        <v>140</v>
      </c>
      <c r="C336" s="26">
        <v>43157</v>
      </c>
      <c r="D336" s="26">
        <v>43185</v>
      </c>
      <c r="E336" s="26">
        <v>43177</v>
      </c>
      <c r="F336" s="25" t="s">
        <v>646</v>
      </c>
      <c r="G336" s="25">
        <v>2904.5499999999997</v>
      </c>
      <c r="H336" s="25" t="s">
        <v>349</v>
      </c>
      <c r="I336" s="27" t="str">
        <f t="shared" si="5"/>
        <v>Feb</v>
      </c>
    </row>
    <row r="337" spans="1:9" x14ac:dyDescent="0.25">
      <c r="A337" s="28">
        <v>10985</v>
      </c>
      <c r="B337" s="29" t="s">
        <v>140</v>
      </c>
      <c r="C337" s="30">
        <v>43189</v>
      </c>
      <c r="D337" s="30">
        <v>43217</v>
      </c>
      <c r="E337" s="30">
        <v>43192</v>
      </c>
      <c r="F337" s="29" t="s">
        <v>645</v>
      </c>
      <c r="G337" s="29">
        <v>457.55</v>
      </c>
      <c r="H337" s="29" t="s">
        <v>349</v>
      </c>
      <c r="I337" s="31" t="str">
        <f t="shared" si="5"/>
        <v>Mar</v>
      </c>
    </row>
    <row r="338" spans="1:9" x14ac:dyDescent="0.25">
      <c r="A338" s="24">
        <v>11063</v>
      </c>
      <c r="B338" s="25" t="s">
        <v>140</v>
      </c>
      <c r="C338" s="26">
        <v>43220</v>
      </c>
      <c r="D338" s="26">
        <v>43248</v>
      </c>
      <c r="E338" s="26">
        <v>43226</v>
      </c>
      <c r="F338" s="25" t="s">
        <v>646</v>
      </c>
      <c r="G338" s="25">
        <v>408.65000000000003</v>
      </c>
      <c r="H338" s="25" t="s">
        <v>349</v>
      </c>
      <c r="I338" s="27" t="str">
        <f t="shared" si="5"/>
        <v>Apr</v>
      </c>
    </row>
    <row r="339" spans="1:9" x14ac:dyDescent="0.25">
      <c r="A339" s="28">
        <v>10315</v>
      </c>
      <c r="B339" s="29" t="s">
        <v>143</v>
      </c>
      <c r="C339" s="30">
        <v>42639</v>
      </c>
      <c r="D339" s="30">
        <v>42667</v>
      </c>
      <c r="E339" s="30">
        <v>42646</v>
      </c>
      <c r="F339" s="29" t="s">
        <v>646</v>
      </c>
      <c r="G339" s="29">
        <v>208.79999999999998</v>
      </c>
      <c r="H339" s="29" t="s">
        <v>14</v>
      </c>
      <c r="I339" s="31" t="str">
        <f t="shared" si="5"/>
        <v>Sep</v>
      </c>
    </row>
    <row r="340" spans="1:9" x14ac:dyDescent="0.25">
      <c r="A340" s="24">
        <v>10318</v>
      </c>
      <c r="B340" s="25" t="s">
        <v>143</v>
      </c>
      <c r="C340" s="26">
        <v>42644</v>
      </c>
      <c r="D340" s="26">
        <v>42672</v>
      </c>
      <c r="E340" s="26">
        <v>42647</v>
      </c>
      <c r="F340" s="25" t="s">
        <v>646</v>
      </c>
      <c r="G340" s="25">
        <v>23.650000000000002</v>
      </c>
      <c r="H340" s="25" t="s">
        <v>14</v>
      </c>
      <c r="I340" s="27" t="str">
        <f t="shared" si="5"/>
        <v>Oct</v>
      </c>
    </row>
    <row r="341" spans="1:9" x14ac:dyDescent="0.25">
      <c r="A341" s="28">
        <v>10321</v>
      </c>
      <c r="B341" s="29" t="s">
        <v>143</v>
      </c>
      <c r="C341" s="30">
        <v>42646</v>
      </c>
      <c r="D341" s="30">
        <v>42674</v>
      </c>
      <c r="E341" s="30">
        <v>42654</v>
      </c>
      <c r="F341" s="29" t="s">
        <v>646</v>
      </c>
      <c r="G341" s="29">
        <v>17.150000000000002</v>
      </c>
      <c r="H341" s="29" t="s">
        <v>14</v>
      </c>
      <c r="I341" s="31" t="str">
        <f t="shared" si="5"/>
        <v>Oct</v>
      </c>
    </row>
    <row r="342" spans="1:9" x14ac:dyDescent="0.25">
      <c r="A342" s="24">
        <v>10473</v>
      </c>
      <c r="B342" s="25" t="s">
        <v>143</v>
      </c>
      <c r="C342" s="26">
        <v>42807</v>
      </c>
      <c r="D342" s="26">
        <v>42821</v>
      </c>
      <c r="E342" s="26">
        <v>42815</v>
      </c>
      <c r="F342" s="25" t="s">
        <v>647</v>
      </c>
      <c r="G342" s="25">
        <v>81.850000000000009</v>
      </c>
      <c r="H342" s="25" t="s">
        <v>14</v>
      </c>
      <c r="I342" s="27" t="str">
        <f t="shared" si="5"/>
        <v>Mar</v>
      </c>
    </row>
    <row r="343" spans="1:9" x14ac:dyDescent="0.25">
      <c r="A343" s="28">
        <v>10621</v>
      </c>
      <c r="B343" s="29" t="s">
        <v>143</v>
      </c>
      <c r="C343" s="30">
        <v>42952</v>
      </c>
      <c r="D343" s="30">
        <v>42980</v>
      </c>
      <c r="E343" s="30">
        <v>42958</v>
      </c>
      <c r="F343" s="29" t="s">
        <v>646</v>
      </c>
      <c r="G343" s="29">
        <v>118.65</v>
      </c>
      <c r="H343" s="29" t="s">
        <v>14</v>
      </c>
      <c r="I343" s="31" t="str">
        <f t="shared" si="5"/>
        <v>Aug</v>
      </c>
    </row>
    <row r="344" spans="1:9" x14ac:dyDescent="0.25">
      <c r="A344" s="24">
        <v>10674</v>
      </c>
      <c r="B344" s="25" t="s">
        <v>143</v>
      </c>
      <c r="C344" s="26">
        <v>42996</v>
      </c>
      <c r="D344" s="26">
        <v>43024</v>
      </c>
      <c r="E344" s="26">
        <v>43008</v>
      </c>
      <c r="F344" s="25" t="s">
        <v>646</v>
      </c>
      <c r="G344" s="25">
        <v>4.5</v>
      </c>
      <c r="H344" s="25" t="s">
        <v>14</v>
      </c>
      <c r="I344" s="27" t="str">
        <f t="shared" si="5"/>
        <v>Sep</v>
      </c>
    </row>
    <row r="345" spans="1:9" x14ac:dyDescent="0.25">
      <c r="A345" s="28">
        <v>10749</v>
      </c>
      <c r="B345" s="29" t="s">
        <v>143</v>
      </c>
      <c r="C345" s="30">
        <v>43059</v>
      </c>
      <c r="D345" s="30">
        <v>43087</v>
      </c>
      <c r="E345" s="30">
        <v>43088</v>
      </c>
      <c r="F345" s="29" t="s">
        <v>646</v>
      </c>
      <c r="G345" s="29">
        <v>307.64999999999998</v>
      </c>
      <c r="H345" s="29" t="s">
        <v>14</v>
      </c>
      <c r="I345" s="31" t="str">
        <f t="shared" si="5"/>
        <v>Nov</v>
      </c>
    </row>
    <row r="346" spans="1:9" x14ac:dyDescent="0.25">
      <c r="A346" s="24">
        <v>10798</v>
      </c>
      <c r="B346" s="25" t="s">
        <v>143</v>
      </c>
      <c r="C346" s="26">
        <v>43095</v>
      </c>
      <c r="D346" s="26">
        <v>43123</v>
      </c>
      <c r="E346" s="26">
        <v>43105</v>
      </c>
      <c r="F346" s="25" t="s">
        <v>645</v>
      </c>
      <c r="G346" s="25">
        <v>11.65</v>
      </c>
      <c r="H346" s="25" t="s">
        <v>14</v>
      </c>
      <c r="I346" s="27" t="str">
        <f t="shared" si="5"/>
        <v>Dec</v>
      </c>
    </row>
    <row r="347" spans="1:9" x14ac:dyDescent="0.25">
      <c r="A347" s="28">
        <v>10829</v>
      </c>
      <c r="B347" s="29" t="s">
        <v>143</v>
      </c>
      <c r="C347" s="30">
        <v>43113</v>
      </c>
      <c r="D347" s="30">
        <v>43141</v>
      </c>
      <c r="E347" s="30">
        <v>43123</v>
      </c>
      <c r="F347" s="29" t="s">
        <v>645</v>
      </c>
      <c r="G347" s="29">
        <v>773.6</v>
      </c>
      <c r="H347" s="29" t="s">
        <v>14</v>
      </c>
      <c r="I347" s="31" t="str">
        <f t="shared" si="5"/>
        <v>Jan</v>
      </c>
    </row>
    <row r="348" spans="1:9" x14ac:dyDescent="0.25">
      <c r="A348" s="24">
        <v>10933</v>
      </c>
      <c r="B348" s="25" t="s">
        <v>143</v>
      </c>
      <c r="C348" s="26">
        <v>43165</v>
      </c>
      <c r="D348" s="26">
        <v>43193</v>
      </c>
      <c r="E348" s="26">
        <v>43175</v>
      </c>
      <c r="F348" s="25" t="s">
        <v>647</v>
      </c>
      <c r="G348" s="25">
        <v>270.75</v>
      </c>
      <c r="H348" s="25" t="s">
        <v>14</v>
      </c>
      <c r="I348" s="27" t="str">
        <f t="shared" si="5"/>
        <v>Mar</v>
      </c>
    </row>
    <row r="349" spans="1:9" x14ac:dyDescent="0.25">
      <c r="A349" s="28">
        <v>10323</v>
      </c>
      <c r="B349" s="29" t="s">
        <v>145</v>
      </c>
      <c r="C349" s="30">
        <v>42650</v>
      </c>
      <c r="D349" s="30">
        <v>42678</v>
      </c>
      <c r="E349" s="30">
        <v>42657</v>
      </c>
      <c r="F349" s="29" t="s">
        <v>645</v>
      </c>
      <c r="G349" s="29">
        <v>24.4</v>
      </c>
      <c r="H349" s="29" t="s">
        <v>350</v>
      </c>
      <c r="I349" s="31" t="str">
        <f t="shared" si="5"/>
        <v>Oct</v>
      </c>
    </row>
    <row r="350" spans="1:9" x14ac:dyDescent="0.25">
      <c r="A350" s="24">
        <v>10325</v>
      </c>
      <c r="B350" s="25" t="s">
        <v>145</v>
      </c>
      <c r="C350" s="26">
        <v>42652</v>
      </c>
      <c r="D350" s="26">
        <v>42666</v>
      </c>
      <c r="E350" s="26">
        <v>42657</v>
      </c>
      <c r="F350" s="25" t="s">
        <v>647</v>
      </c>
      <c r="G350" s="25">
        <v>324.3</v>
      </c>
      <c r="H350" s="25" t="s">
        <v>350</v>
      </c>
      <c r="I350" s="27" t="str">
        <f t="shared" si="5"/>
        <v>Oct</v>
      </c>
    </row>
    <row r="351" spans="1:9" x14ac:dyDescent="0.25">
      <c r="A351" s="28">
        <v>10456</v>
      </c>
      <c r="B351" s="29" t="s">
        <v>145</v>
      </c>
      <c r="C351" s="30">
        <v>42791</v>
      </c>
      <c r="D351" s="30">
        <v>42833</v>
      </c>
      <c r="E351" s="30">
        <v>42794</v>
      </c>
      <c r="F351" s="29" t="s">
        <v>646</v>
      </c>
      <c r="G351" s="29">
        <v>40.599999999999994</v>
      </c>
      <c r="H351" s="29" t="s">
        <v>350</v>
      </c>
      <c r="I351" s="31" t="str">
        <f t="shared" si="5"/>
        <v>Feb</v>
      </c>
    </row>
    <row r="352" spans="1:9" x14ac:dyDescent="0.25">
      <c r="A352" s="24">
        <v>10457</v>
      </c>
      <c r="B352" s="25" t="s">
        <v>145</v>
      </c>
      <c r="C352" s="26">
        <v>42791</v>
      </c>
      <c r="D352" s="26">
        <v>42819</v>
      </c>
      <c r="E352" s="26">
        <v>42797</v>
      </c>
      <c r="F352" s="25" t="s">
        <v>645</v>
      </c>
      <c r="G352" s="25">
        <v>57.85</v>
      </c>
      <c r="H352" s="25" t="s">
        <v>350</v>
      </c>
      <c r="I352" s="27" t="str">
        <f t="shared" si="5"/>
        <v>Feb</v>
      </c>
    </row>
    <row r="353" spans="1:9" x14ac:dyDescent="0.25">
      <c r="A353" s="28">
        <v>10468</v>
      </c>
      <c r="B353" s="29" t="s">
        <v>145</v>
      </c>
      <c r="C353" s="30">
        <v>42801</v>
      </c>
      <c r="D353" s="30">
        <v>42829</v>
      </c>
      <c r="E353" s="30">
        <v>42806</v>
      </c>
      <c r="F353" s="29" t="s">
        <v>647</v>
      </c>
      <c r="G353" s="29">
        <v>220.6</v>
      </c>
      <c r="H353" s="29" t="s">
        <v>350</v>
      </c>
      <c r="I353" s="31" t="str">
        <f t="shared" si="5"/>
        <v>Mar</v>
      </c>
    </row>
    <row r="354" spans="1:9" x14ac:dyDescent="0.25">
      <c r="A354" s="24">
        <v>10506</v>
      </c>
      <c r="B354" s="25" t="s">
        <v>145</v>
      </c>
      <c r="C354" s="26">
        <v>42840</v>
      </c>
      <c r="D354" s="26">
        <v>42868</v>
      </c>
      <c r="E354" s="26">
        <v>42857</v>
      </c>
      <c r="F354" s="25" t="s">
        <v>646</v>
      </c>
      <c r="G354" s="25">
        <v>105.95</v>
      </c>
      <c r="H354" s="25" t="s">
        <v>350</v>
      </c>
      <c r="I354" s="27" t="str">
        <f t="shared" si="5"/>
        <v>Apr</v>
      </c>
    </row>
    <row r="355" spans="1:9" x14ac:dyDescent="0.25">
      <c r="A355" s="28">
        <v>10542</v>
      </c>
      <c r="B355" s="29" t="s">
        <v>145</v>
      </c>
      <c r="C355" s="30">
        <v>42875</v>
      </c>
      <c r="D355" s="30">
        <v>42903</v>
      </c>
      <c r="E355" s="30">
        <v>42881</v>
      </c>
      <c r="F355" s="29" t="s">
        <v>647</v>
      </c>
      <c r="G355" s="29">
        <v>54.75</v>
      </c>
      <c r="H355" s="29" t="s">
        <v>350</v>
      </c>
      <c r="I355" s="31" t="str">
        <f t="shared" si="5"/>
        <v>May</v>
      </c>
    </row>
    <row r="356" spans="1:9" x14ac:dyDescent="0.25">
      <c r="A356" s="24">
        <v>10630</v>
      </c>
      <c r="B356" s="25" t="s">
        <v>145</v>
      </c>
      <c r="C356" s="26">
        <v>42960</v>
      </c>
      <c r="D356" s="26">
        <v>42988</v>
      </c>
      <c r="E356" s="26">
        <v>42966</v>
      </c>
      <c r="F356" s="25" t="s">
        <v>646</v>
      </c>
      <c r="G356" s="25">
        <v>161.75</v>
      </c>
      <c r="H356" s="25" t="s">
        <v>350</v>
      </c>
      <c r="I356" s="27" t="str">
        <f t="shared" si="5"/>
        <v>Aug</v>
      </c>
    </row>
    <row r="357" spans="1:9" x14ac:dyDescent="0.25">
      <c r="A357" s="28">
        <v>10718</v>
      </c>
      <c r="B357" s="29" t="s">
        <v>145</v>
      </c>
      <c r="C357" s="30">
        <v>43035</v>
      </c>
      <c r="D357" s="30">
        <v>43063</v>
      </c>
      <c r="E357" s="30">
        <v>43037</v>
      </c>
      <c r="F357" s="29" t="s">
        <v>647</v>
      </c>
      <c r="G357" s="29">
        <v>854.4</v>
      </c>
      <c r="H357" s="29" t="s">
        <v>350</v>
      </c>
      <c r="I357" s="31" t="str">
        <f t="shared" si="5"/>
        <v>Oct</v>
      </c>
    </row>
    <row r="358" spans="1:9" x14ac:dyDescent="0.25">
      <c r="A358" s="24">
        <v>10799</v>
      </c>
      <c r="B358" s="25" t="s">
        <v>145</v>
      </c>
      <c r="C358" s="26">
        <v>43095</v>
      </c>
      <c r="D358" s="26">
        <v>43137</v>
      </c>
      <c r="E358" s="26">
        <v>43105</v>
      </c>
      <c r="F358" s="25" t="s">
        <v>647</v>
      </c>
      <c r="G358" s="25">
        <v>153.80000000000001</v>
      </c>
      <c r="H358" s="25" t="s">
        <v>350</v>
      </c>
      <c r="I358" s="27" t="str">
        <f t="shared" si="5"/>
        <v>Dec</v>
      </c>
    </row>
    <row r="359" spans="1:9" x14ac:dyDescent="0.25">
      <c r="A359" s="28">
        <v>10817</v>
      </c>
      <c r="B359" s="29" t="s">
        <v>145</v>
      </c>
      <c r="C359" s="30">
        <v>43106</v>
      </c>
      <c r="D359" s="30">
        <v>43120</v>
      </c>
      <c r="E359" s="30">
        <v>43113</v>
      </c>
      <c r="F359" s="29" t="s">
        <v>646</v>
      </c>
      <c r="G359" s="29">
        <v>1530.35</v>
      </c>
      <c r="H359" s="29" t="s">
        <v>350</v>
      </c>
      <c r="I359" s="31" t="str">
        <f t="shared" si="5"/>
        <v>Jan</v>
      </c>
    </row>
    <row r="360" spans="1:9" x14ac:dyDescent="0.25">
      <c r="A360" s="24">
        <v>10849</v>
      </c>
      <c r="B360" s="25" t="s">
        <v>145</v>
      </c>
      <c r="C360" s="26">
        <v>43123</v>
      </c>
      <c r="D360" s="26">
        <v>43151</v>
      </c>
      <c r="E360" s="26">
        <v>43130</v>
      </c>
      <c r="F360" s="25" t="s">
        <v>646</v>
      </c>
      <c r="G360" s="25">
        <v>2.8000000000000003</v>
      </c>
      <c r="H360" s="25" t="s">
        <v>350</v>
      </c>
      <c r="I360" s="27" t="str">
        <f t="shared" si="5"/>
        <v>Jan</v>
      </c>
    </row>
    <row r="361" spans="1:9" x14ac:dyDescent="0.25">
      <c r="A361" s="28">
        <v>10893</v>
      </c>
      <c r="B361" s="29" t="s">
        <v>145</v>
      </c>
      <c r="C361" s="30">
        <v>43149</v>
      </c>
      <c r="D361" s="30">
        <v>43177</v>
      </c>
      <c r="E361" s="30">
        <v>43151</v>
      </c>
      <c r="F361" s="29" t="s">
        <v>646</v>
      </c>
      <c r="G361" s="29">
        <v>388.9</v>
      </c>
      <c r="H361" s="29" t="s">
        <v>350</v>
      </c>
      <c r="I361" s="31" t="str">
        <f t="shared" si="5"/>
        <v>Feb</v>
      </c>
    </row>
    <row r="362" spans="1:9" x14ac:dyDescent="0.25">
      <c r="A362" s="24">
        <v>11028</v>
      </c>
      <c r="B362" s="25" t="s">
        <v>145</v>
      </c>
      <c r="C362" s="26">
        <v>43206</v>
      </c>
      <c r="D362" s="26">
        <v>43234</v>
      </c>
      <c r="E362" s="26">
        <v>43212</v>
      </c>
      <c r="F362" s="25" t="s">
        <v>645</v>
      </c>
      <c r="G362" s="25">
        <v>147.94999999999999</v>
      </c>
      <c r="H362" s="25" t="s">
        <v>350</v>
      </c>
      <c r="I362" s="27" t="str">
        <f t="shared" si="5"/>
        <v>Apr</v>
      </c>
    </row>
    <row r="363" spans="1:9" x14ac:dyDescent="0.25">
      <c r="A363" s="28">
        <v>10858</v>
      </c>
      <c r="B363" s="29" t="s">
        <v>147</v>
      </c>
      <c r="C363" s="30">
        <v>43129</v>
      </c>
      <c r="D363" s="30">
        <v>43157</v>
      </c>
      <c r="E363" s="30">
        <v>43134</v>
      </c>
      <c r="F363" s="29" t="s">
        <v>645</v>
      </c>
      <c r="G363" s="29">
        <v>262.55</v>
      </c>
      <c r="H363" s="29" t="s">
        <v>351</v>
      </c>
      <c r="I363" s="31" t="str">
        <f t="shared" si="5"/>
        <v>Jan</v>
      </c>
    </row>
    <row r="364" spans="1:9" x14ac:dyDescent="0.25">
      <c r="A364" s="24">
        <v>10927</v>
      </c>
      <c r="B364" s="25" t="s">
        <v>147</v>
      </c>
      <c r="C364" s="26">
        <v>43164</v>
      </c>
      <c r="D364" s="26">
        <v>43192</v>
      </c>
      <c r="E364" s="26">
        <v>43198</v>
      </c>
      <c r="F364" s="25" t="s">
        <v>645</v>
      </c>
      <c r="G364" s="25">
        <v>98.949999999999989</v>
      </c>
      <c r="H364" s="25" t="s">
        <v>351</v>
      </c>
      <c r="I364" s="27" t="str">
        <f t="shared" si="5"/>
        <v>Mar</v>
      </c>
    </row>
    <row r="365" spans="1:9" x14ac:dyDescent="0.25">
      <c r="A365" s="28">
        <v>10972</v>
      </c>
      <c r="B365" s="29" t="s">
        <v>147</v>
      </c>
      <c r="C365" s="30">
        <v>43183</v>
      </c>
      <c r="D365" s="30">
        <v>43211</v>
      </c>
      <c r="E365" s="30">
        <v>43185</v>
      </c>
      <c r="F365" s="29" t="s">
        <v>646</v>
      </c>
      <c r="G365" s="29">
        <v>0.1</v>
      </c>
      <c r="H365" s="29" t="s">
        <v>351</v>
      </c>
      <c r="I365" s="31" t="str">
        <f t="shared" si="5"/>
        <v>Mar</v>
      </c>
    </row>
    <row r="366" spans="1:9" x14ac:dyDescent="0.25">
      <c r="A366" s="24">
        <v>10973</v>
      </c>
      <c r="B366" s="25" t="s">
        <v>147</v>
      </c>
      <c r="C366" s="26">
        <v>43183</v>
      </c>
      <c r="D366" s="26">
        <v>43211</v>
      </c>
      <c r="E366" s="26">
        <v>43186</v>
      </c>
      <c r="F366" s="25" t="s">
        <v>646</v>
      </c>
      <c r="G366" s="25">
        <v>75.849999999999994</v>
      </c>
      <c r="H366" s="25" t="s">
        <v>351</v>
      </c>
      <c r="I366" s="27" t="str">
        <f t="shared" si="5"/>
        <v>Mar</v>
      </c>
    </row>
    <row r="367" spans="1:9" x14ac:dyDescent="0.25">
      <c r="A367" s="28">
        <v>10350</v>
      </c>
      <c r="B367" s="29" t="s">
        <v>150</v>
      </c>
      <c r="C367" s="30">
        <v>42685</v>
      </c>
      <c r="D367" s="30">
        <v>42713</v>
      </c>
      <c r="E367" s="30">
        <v>42707</v>
      </c>
      <c r="F367" s="29" t="s">
        <v>646</v>
      </c>
      <c r="G367" s="29">
        <v>320.95</v>
      </c>
      <c r="H367" s="29" t="s">
        <v>352</v>
      </c>
      <c r="I367" s="31" t="str">
        <f t="shared" si="5"/>
        <v>Nov</v>
      </c>
    </row>
    <row r="368" spans="1:9" x14ac:dyDescent="0.25">
      <c r="A368" s="24">
        <v>10358</v>
      </c>
      <c r="B368" s="25" t="s">
        <v>150</v>
      </c>
      <c r="C368" s="26">
        <v>42694</v>
      </c>
      <c r="D368" s="26">
        <v>42722</v>
      </c>
      <c r="E368" s="26">
        <v>42701</v>
      </c>
      <c r="F368" s="25" t="s">
        <v>645</v>
      </c>
      <c r="G368" s="25">
        <v>98.2</v>
      </c>
      <c r="H368" s="25" t="s">
        <v>352</v>
      </c>
      <c r="I368" s="27" t="str">
        <f t="shared" si="5"/>
        <v>Nov</v>
      </c>
    </row>
    <row r="369" spans="1:9" x14ac:dyDescent="0.25">
      <c r="A369" s="28">
        <v>10371</v>
      </c>
      <c r="B369" s="29" t="s">
        <v>150</v>
      </c>
      <c r="C369" s="30">
        <v>42707</v>
      </c>
      <c r="D369" s="30">
        <v>42735</v>
      </c>
      <c r="E369" s="30">
        <v>42728</v>
      </c>
      <c r="F369" s="29" t="s">
        <v>645</v>
      </c>
      <c r="G369" s="29">
        <v>2.25</v>
      </c>
      <c r="H369" s="29" t="s">
        <v>352</v>
      </c>
      <c r="I369" s="31" t="str">
        <f t="shared" si="5"/>
        <v>Dec</v>
      </c>
    </row>
    <row r="370" spans="1:9" x14ac:dyDescent="0.25">
      <c r="A370" s="24">
        <v>10413</v>
      </c>
      <c r="B370" s="25" t="s">
        <v>150</v>
      </c>
      <c r="C370" s="26">
        <v>42749</v>
      </c>
      <c r="D370" s="26">
        <v>42777</v>
      </c>
      <c r="E370" s="26">
        <v>42751</v>
      </c>
      <c r="F370" s="25" t="s">
        <v>646</v>
      </c>
      <c r="G370" s="25">
        <v>478.29999999999995</v>
      </c>
      <c r="H370" s="25" t="s">
        <v>352</v>
      </c>
      <c r="I370" s="27" t="str">
        <f t="shared" si="5"/>
        <v>Jan</v>
      </c>
    </row>
    <row r="371" spans="1:9" x14ac:dyDescent="0.25">
      <c r="A371" s="28">
        <v>10425</v>
      </c>
      <c r="B371" s="29" t="s">
        <v>150</v>
      </c>
      <c r="C371" s="30">
        <v>42759</v>
      </c>
      <c r="D371" s="30">
        <v>42787</v>
      </c>
      <c r="E371" s="30">
        <v>42780</v>
      </c>
      <c r="F371" s="29" t="s">
        <v>646</v>
      </c>
      <c r="G371" s="29">
        <v>39.65</v>
      </c>
      <c r="H371" s="29" t="s">
        <v>352</v>
      </c>
      <c r="I371" s="31" t="str">
        <f t="shared" si="5"/>
        <v>Jan</v>
      </c>
    </row>
    <row r="372" spans="1:9" x14ac:dyDescent="0.25">
      <c r="A372" s="24">
        <v>10454</v>
      </c>
      <c r="B372" s="25" t="s">
        <v>150</v>
      </c>
      <c r="C372" s="26">
        <v>42787</v>
      </c>
      <c r="D372" s="26">
        <v>42815</v>
      </c>
      <c r="E372" s="26">
        <v>42791</v>
      </c>
      <c r="F372" s="25" t="s">
        <v>647</v>
      </c>
      <c r="G372" s="25">
        <v>13.700000000000001</v>
      </c>
      <c r="H372" s="25" t="s">
        <v>352</v>
      </c>
      <c r="I372" s="27" t="str">
        <f t="shared" si="5"/>
        <v>Feb</v>
      </c>
    </row>
    <row r="373" spans="1:9" x14ac:dyDescent="0.25">
      <c r="A373" s="28">
        <v>10493</v>
      </c>
      <c r="B373" s="29" t="s">
        <v>150</v>
      </c>
      <c r="C373" s="30">
        <v>42827</v>
      </c>
      <c r="D373" s="30">
        <v>42855</v>
      </c>
      <c r="E373" s="30">
        <v>42835</v>
      </c>
      <c r="F373" s="29" t="s">
        <v>647</v>
      </c>
      <c r="G373" s="29">
        <v>53.2</v>
      </c>
      <c r="H373" s="29" t="s">
        <v>352</v>
      </c>
      <c r="I373" s="31" t="str">
        <f t="shared" si="5"/>
        <v>Apr</v>
      </c>
    </row>
    <row r="374" spans="1:9" x14ac:dyDescent="0.25">
      <c r="A374" s="24">
        <v>10500</v>
      </c>
      <c r="B374" s="25" t="s">
        <v>150</v>
      </c>
      <c r="C374" s="26">
        <v>42834</v>
      </c>
      <c r="D374" s="26">
        <v>42862</v>
      </c>
      <c r="E374" s="26">
        <v>42842</v>
      </c>
      <c r="F374" s="25" t="s">
        <v>645</v>
      </c>
      <c r="G374" s="25">
        <v>213.4</v>
      </c>
      <c r="H374" s="25" t="s">
        <v>352</v>
      </c>
      <c r="I374" s="27" t="str">
        <f t="shared" si="5"/>
        <v>Apr</v>
      </c>
    </row>
    <row r="375" spans="1:9" x14ac:dyDescent="0.25">
      <c r="A375" s="28">
        <v>10610</v>
      </c>
      <c r="B375" s="29" t="s">
        <v>150</v>
      </c>
      <c r="C375" s="30">
        <v>42941</v>
      </c>
      <c r="D375" s="30">
        <v>42969</v>
      </c>
      <c r="E375" s="30">
        <v>42953</v>
      </c>
      <c r="F375" s="29" t="s">
        <v>645</v>
      </c>
      <c r="G375" s="29">
        <v>133.9</v>
      </c>
      <c r="H375" s="29" t="s">
        <v>352</v>
      </c>
      <c r="I375" s="31" t="str">
        <f t="shared" si="5"/>
        <v>Jul</v>
      </c>
    </row>
    <row r="376" spans="1:9" x14ac:dyDescent="0.25">
      <c r="A376" s="24">
        <v>10631</v>
      </c>
      <c r="B376" s="25" t="s">
        <v>150</v>
      </c>
      <c r="C376" s="26">
        <v>42961</v>
      </c>
      <c r="D376" s="26">
        <v>42989</v>
      </c>
      <c r="E376" s="26">
        <v>42962</v>
      </c>
      <c r="F376" s="25" t="s">
        <v>645</v>
      </c>
      <c r="G376" s="25">
        <v>4.3499999999999996</v>
      </c>
      <c r="H376" s="25" t="s">
        <v>352</v>
      </c>
      <c r="I376" s="27" t="str">
        <f t="shared" si="5"/>
        <v>Aug</v>
      </c>
    </row>
    <row r="377" spans="1:9" x14ac:dyDescent="0.25">
      <c r="A377" s="28">
        <v>10787</v>
      </c>
      <c r="B377" s="29" t="s">
        <v>150</v>
      </c>
      <c r="C377" s="30">
        <v>43088</v>
      </c>
      <c r="D377" s="30">
        <v>43102</v>
      </c>
      <c r="E377" s="30">
        <v>43095</v>
      </c>
      <c r="F377" s="29" t="s">
        <v>645</v>
      </c>
      <c r="G377" s="29">
        <v>1249.6500000000001</v>
      </c>
      <c r="H377" s="29" t="s">
        <v>352</v>
      </c>
      <c r="I377" s="31" t="str">
        <f t="shared" si="5"/>
        <v>Dec</v>
      </c>
    </row>
    <row r="378" spans="1:9" x14ac:dyDescent="0.25">
      <c r="A378" s="24">
        <v>10832</v>
      </c>
      <c r="B378" s="25" t="s">
        <v>150</v>
      </c>
      <c r="C378" s="26">
        <v>43114</v>
      </c>
      <c r="D378" s="26">
        <v>43142</v>
      </c>
      <c r="E378" s="26">
        <v>43119</v>
      </c>
      <c r="F378" s="25" t="s">
        <v>646</v>
      </c>
      <c r="G378" s="25">
        <v>216.29999999999998</v>
      </c>
      <c r="H378" s="25" t="s">
        <v>352</v>
      </c>
      <c r="I378" s="27" t="str">
        <f t="shared" si="5"/>
        <v>Jan</v>
      </c>
    </row>
    <row r="379" spans="1:9" x14ac:dyDescent="0.25">
      <c r="A379" s="28">
        <v>10923</v>
      </c>
      <c r="B379" s="29" t="s">
        <v>150</v>
      </c>
      <c r="C379" s="30">
        <v>43162</v>
      </c>
      <c r="D379" s="30">
        <v>43204</v>
      </c>
      <c r="E379" s="30">
        <v>43172</v>
      </c>
      <c r="F379" s="29" t="s">
        <v>647</v>
      </c>
      <c r="G379" s="29">
        <v>341.3</v>
      </c>
      <c r="H379" s="29" t="s">
        <v>352</v>
      </c>
      <c r="I379" s="31" t="str">
        <f t="shared" si="5"/>
        <v>Mar</v>
      </c>
    </row>
    <row r="380" spans="1:9" x14ac:dyDescent="0.25">
      <c r="A380" s="24">
        <v>11051</v>
      </c>
      <c r="B380" s="25" t="s">
        <v>150</v>
      </c>
      <c r="C380" s="26">
        <v>43217</v>
      </c>
      <c r="D380" s="26">
        <v>43245</v>
      </c>
      <c r="E380" s="26"/>
      <c r="F380" s="25" t="s">
        <v>647</v>
      </c>
      <c r="G380" s="25">
        <v>13.95</v>
      </c>
      <c r="H380" s="25" t="s">
        <v>352</v>
      </c>
      <c r="I380" s="27" t="str">
        <f t="shared" si="5"/>
        <v>Apr</v>
      </c>
    </row>
    <row r="381" spans="1:9" x14ac:dyDescent="0.25">
      <c r="A381" s="28">
        <v>10495</v>
      </c>
      <c r="B381" s="29" t="s">
        <v>153</v>
      </c>
      <c r="C381" s="30">
        <v>42828</v>
      </c>
      <c r="D381" s="30">
        <v>42856</v>
      </c>
      <c r="E381" s="30">
        <v>42836</v>
      </c>
      <c r="F381" s="29" t="s">
        <v>647</v>
      </c>
      <c r="G381" s="29">
        <v>23.25</v>
      </c>
      <c r="H381" s="29" t="s">
        <v>353</v>
      </c>
      <c r="I381" s="31" t="str">
        <f t="shared" si="5"/>
        <v>Apr</v>
      </c>
    </row>
    <row r="382" spans="1:9" x14ac:dyDescent="0.25">
      <c r="A382" s="24">
        <v>10620</v>
      </c>
      <c r="B382" s="25" t="s">
        <v>153</v>
      </c>
      <c r="C382" s="26">
        <v>42952</v>
      </c>
      <c r="D382" s="26">
        <v>42980</v>
      </c>
      <c r="E382" s="26">
        <v>42961</v>
      </c>
      <c r="F382" s="25" t="s">
        <v>647</v>
      </c>
      <c r="G382" s="25">
        <v>4.6999999999999993</v>
      </c>
      <c r="H382" s="25" t="s">
        <v>353</v>
      </c>
      <c r="I382" s="27" t="str">
        <f t="shared" si="5"/>
        <v>Aug</v>
      </c>
    </row>
    <row r="383" spans="1:9" x14ac:dyDescent="0.25">
      <c r="A383" s="28">
        <v>10810</v>
      </c>
      <c r="B383" s="29" t="s">
        <v>153</v>
      </c>
      <c r="C383" s="30">
        <v>43101</v>
      </c>
      <c r="D383" s="30">
        <v>43129</v>
      </c>
      <c r="E383" s="30">
        <v>43107</v>
      </c>
      <c r="F383" s="29" t="s">
        <v>647</v>
      </c>
      <c r="G383" s="29">
        <v>21.65</v>
      </c>
      <c r="H383" s="29" t="s">
        <v>353</v>
      </c>
      <c r="I383" s="31" t="str">
        <f t="shared" si="5"/>
        <v>Jan</v>
      </c>
    </row>
    <row r="384" spans="1:9" x14ac:dyDescent="0.25">
      <c r="A384" s="24">
        <v>10482</v>
      </c>
      <c r="B384" s="25" t="s">
        <v>156</v>
      </c>
      <c r="C384" s="26">
        <v>42815</v>
      </c>
      <c r="D384" s="26">
        <v>42843</v>
      </c>
      <c r="E384" s="26">
        <v>42835</v>
      </c>
      <c r="F384" s="25" t="s">
        <v>647</v>
      </c>
      <c r="G384" s="25">
        <v>37.400000000000006</v>
      </c>
      <c r="H384" s="25" t="s">
        <v>354</v>
      </c>
      <c r="I384" s="27" t="str">
        <f t="shared" si="5"/>
        <v>Mar</v>
      </c>
    </row>
    <row r="385" spans="1:9" x14ac:dyDescent="0.25">
      <c r="A385" s="28">
        <v>10545</v>
      </c>
      <c r="B385" s="29" t="s">
        <v>156</v>
      </c>
      <c r="C385" s="30">
        <v>42877</v>
      </c>
      <c r="D385" s="30">
        <v>42905</v>
      </c>
      <c r="E385" s="30">
        <v>42912</v>
      </c>
      <c r="F385" s="29" t="s">
        <v>646</v>
      </c>
      <c r="G385" s="29">
        <v>59.6</v>
      </c>
      <c r="H385" s="29" t="s">
        <v>354</v>
      </c>
      <c r="I385" s="31" t="str">
        <f t="shared" si="5"/>
        <v>May</v>
      </c>
    </row>
    <row r="386" spans="1:9" x14ac:dyDescent="0.25">
      <c r="A386" s="24">
        <v>10279</v>
      </c>
      <c r="B386" s="25" t="s">
        <v>160</v>
      </c>
      <c r="C386" s="26">
        <v>42595</v>
      </c>
      <c r="D386" s="26">
        <v>42623</v>
      </c>
      <c r="E386" s="26">
        <v>42598</v>
      </c>
      <c r="F386" s="25" t="s">
        <v>646</v>
      </c>
      <c r="G386" s="25">
        <v>129.14999999999998</v>
      </c>
      <c r="H386" s="25" t="s">
        <v>355</v>
      </c>
      <c r="I386" s="27" t="str">
        <f t="shared" si="5"/>
        <v>Aug</v>
      </c>
    </row>
    <row r="387" spans="1:9" x14ac:dyDescent="0.25">
      <c r="A387" s="28">
        <v>10284</v>
      </c>
      <c r="B387" s="29" t="s">
        <v>160</v>
      </c>
      <c r="C387" s="30">
        <v>42601</v>
      </c>
      <c r="D387" s="30">
        <v>42629</v>
      </c>
      <c r="E387" s="30">
        <v>42609</v>
      </c>
      <c r="F387" s="29" t="s">
        <v>645</v>
      </c>
      <c r="G387" s="29">
        <v>382.8</v>
      </c>
      <c r="H387" s="29" t="s">
        <v>355</v>
      </c>
      <c r="I387" s="31" t="str">
        <f t="shared" ref="I387:I450" si="6">TEXT(C387,"mmm")</f>
        <v>Aug</v>
      </c>
    </row>
    <row r="388" spans="1:9" x14ac:dyDescent="0.25">
      <c r="A388" s="24">
        <v>10343</v>
      </c>
      <c r="B388" s="25" t="s">
        <v>160</v>
      </c>
      <c r="C388" s="26">
        <v>42674</v>
      </c>
      <c r="D388" s="26">
        <v>42702</v>
      </c>
      <c r="E388" s="26">
        <v>42680</v>
      </c>
      <c r="F388" s="25" t="s">
        <v>645</v>
      </c>
      <c r="G388" s="25">
        <v>551.85</v>
      </c>
      <c r="H388" s="25" t="s">
        <v>355</v>
      </c>
      <c r="I388" s="27" t="str">
        <f t="shared" si="6"/>
        <v>Oct</v>
      </c>
    </row>
    <row r="389" spans="1:9" x14ac:dyDescent="0.25">
      <c r="A389" s="28">
        <v>10497</v>
      </c>
      <c r="B389" s="29" t="s">
        <v>160</v>
      </c>
      <c r="C389" s="30">
        <v>42829</v>
      </c>
      <c r="D389" s="30">
        <v>42857</v>
      </c>
      <c r="E389" s="30">
        <v>42832</v>
      </c>
      <c r="F389" s="29" t="s">
        <v>645</v>
      </c>
      <c r="G389" s="29">
        <v>181.05</v>
      </c>
      <c r="H389" s="29" t="s">
        <v>355</v>
      </c>
      <c r="I389" s="31" t="str">
        <f t="shared" si="6"/>
        <v>Apr</v>
      </c>
    </row>
    <row r="390" spans="1:9" x14ac:dyDescent="0.25">
      <c r="A390" s="24">
        <v>10522</v>
      </c>
      <c r="B390" s="25" t="s">
        <v>160</v>
      </c>
      <c r="C390" s="26">
        <v>42855</v>
      </c>
      <c r="D390" s="26">
        <v>42883</v>
      </c>
      <c r="E390" s="26">
        <v>42861</v>
      </c>
      <c r="F390" s="25" t="s">
        <v>645</v>
      </c>
      <c r="G390" s="25">
        <v>226.64999999999998</v>
      </c>
      <c r="H390" s="25" t="s">
        <v>355</v>
      </c>
      <c r="I390" s="27" t="str">
        <f t="shared" si="6"/>
        <v>Apr</v>
      </c>
    </row>
    <row r="391" spans="1:9" x14ac:dyDescent="0.25">
      <c r="A391" s="28">
        <v>10534</v>
      </c>
      <c r="B391" s="29" t="s">
        <v>160</v>
      </c>
      <c r="C391" s="30">
        <v>42867</v>
      </c>
      <c r="D391" s="30">
        <v>42895</v>
      </c>
      <c r="E391" s="30">
        <v>42869</v>
      </c>
      <c r="F391" s="29" t="s">
        <v>646</v>
      </c>
      <c r="G391" s="29">
        <v>139.70000000000002</v>
      </c>
      <c r="H391" s="29" t="s">
        <v>355</v>
      </c>
      <c r="I391" s="31" t="str">
        <f t="shared" si="6"/>
        <v>May</v>
      </c>
    </row>
    <row r="392" spans="1:9" x14ac:dyDescent="0.25">
      <c r="A392" s="24">
        <v>10536</v>
      </c>
      <c r="B392" s="25" t="s">
        <v>160</v>
      </c>
      <c r="C392" s="26">
        <v>42869</v>
      </c>
      <c r="D392" s="26">
        <v>42897</v>
      </c>
      <c r="E392" s="26">
        <v>42892</v>
      </c>
      <c r="F392" s="25" t="s">
        <v>646</v>
      </c>
      <c r="G392" s="25">
        <v>294.40000000000003</v>
      </c>
      <c r="H392" s="25" t="s">
        <v>355</v>
      </c>
      <c r="I392" s="27" t="str">
        <f t="shared" si="6"/>
        <v>May</v>
      </c>
    </row>
    <row r="393" spans="1:9" x14ac:dyDescent="0.25">
      <c r="A393" s="28">
        <v>10557</v>
      </c>
      <c r="B393" s="29" t="s">
        <v>160</v>
      </c>
      <c r="C393" s="30">
        <v>42889</v>
      </c>
      <c r="D393" s="30">
        <v>42903</v>
      </c>
      <c r="E393" s="30">
        <v>42892</v>
      </c>
      <c r="F393" s="29" t="s">
        <v>646</v>
      </c>
      <c r="G393" s="29">
        <v>483.6</v>
      </c>
      <c r="H393" s="29" t="s">
        <v>355</v>
      </c>
      <c r="I393" s="31" t="str">
        <f t="shared" si="6"/>
        <v>Jun</v>
      </c>
    </row>
    <row r="394" spans="1:9" x14ac:dyDescent="0.25">
      <c r="A394" s="24">
        <v>10592</v>
      </c>
      <c r="B394" s="25" t="s">
        <v>160</v>
      </c>
      <c r="C394" s="26">
        <v>42924</v>
      </c>
      <c r="D394" s="26">
        <v>42952</v>
      </c>
      <c r="E394" s="26">
        <v>42932</v>
      </c>
      <c r="F394" s="25" t="s">
        <v>645</v>
      </c>
      <c r="G394" s="25">
        <v>160.5</v>
      </c>
      <c r="H394" s="25" t="s">
        <v>355</v>
      </c>
      <c r="I394" s="27" t="str">
        <f t="shared" si="6"/>
        <v>Jul</v>
      </c>
    </row>
    <row r="395" spans="1:9" x14ac:dyDescent="0.25">
      <c r="A395" s="28">
        <v>10593</v>
      </c>
      <c r="B395" s="29" t="s">
        <v>160</v>
      </c>
      <c r="C395" s="30">
        <v>42925</v>
      </c>
      <c r="D395" s="30">
        <v>42953</v>
      </c>
      <c r="E395" s="30">
        <v>42960</v>
      </c>
      <c r="F395" s="29" t="s">
        <v>646</v>
      </c>
      <c r="G395" s="29">
        <v>871</v>
      </c>
      <c r="H395" s="29" t="s">
        <v>355</v>
      </c>
      <c r="I395" s="31" t="str">
        <f t="shared" si="6"/>
        <v>Jul</v>
      </c>
    </row>
    <row r="396" spans="1:9" x14ac:dyDescent="0.25">
      <c r="A396" s="24">
        <v>10772</v>
      </c>
      <c r="B396" s="25" t="s">
        <v>160</v>
      </c>
      <c r="C396" s="26">
        <v>43079</v>
      </c>
      <c r="D396" s="26">
        <v>43107</v>
      </c>
      <c r="E396" s="26">
        <v>43088</v>
      </c>
      <c r="F396" s="25" t="s">
        <v>646</v>
      </c>
      <c r="G396" s="25">
        <v>456.4</v>
      </c>
      <c r="H396" s="25" t="s">
        <v>355</v>
      </c>
      <c r="I396" s="27" t="str">
        <f t="shared" si="6"/>
        <v>Dec</v>
      </c>
    </row>
    <row r="397" spans="1:9" x14ac:dyDescent="0.25">
      <c r="A397" s="28">
        <v>10862</v>
      </c>
      <c r="B397" s="29" t="s">
        <v>160</v>
      </c>
      <c r="C397" s="30">
        <v>43130</v>
      </c>
      <c r="D397" s="30">
        <v>43172</v>
      </c>
      <c r="E397" s="30">
        <v>43133</v>
      </c>
      <c r="F397" s="29" t="s">
        <v>646</v>
      </c>
      <c r="G397" s="29">
        <v>266.14999999999998</v>
      </c>
      <c r="H397" s="29" t="s">
        <v>355</v>
      </c>
      <c r="I397" s="31" t="str">
        <f t="shared" si="6"/>
        <v>Jan</v>
      </c>
    </row>
    <row r="398" spans="1:9" x14ac:dyDescent="0.25">
      <c r="A398" s="24">
        <v>10891</v>
      </c>
      <c r="B398" s="25" t="s">
        <v>160</v>
      </c>
      <c r="C398" s="26">
        <v>43148</v>
      </c>
      <c r="D398" s="26">
        <v>43176</v>
      </c>
      <c r="E398" s="26">
        <v>43150</v>
      </c>
      <c r="F398" s="25" t="s">
        <v>646</v>
      </c>
      <c r="G398" s="25">
        <v>101.85000000000001</v>
      </c>
      <c r="H398" s="25" t="s">
        <v>355</v>
      </c>
      <c r="I398" s="27" t="str">
        <f t="shared" si="6"/>
        <v>Feb</v>
      </c>
    </row>
    <row r="399" spans="1:9" x14ac:dyDescent="0.25">
      <c r="A399" s="28">
        <v>10934</v>
      </c>
      <c r="B399" s="29" t="s">
        <v>160</v>
      </c>
      <c r="C399" s="30">
        <v>43168</v>
      </c>
      <c r="D399" s="30">
        <v>43196</v>
      </c>
      <c r="E399" s="30">
        <v>43171</v>
      </c>
      <c r="F399" s="29" t="s">
        <v>647</v>
      </c>
      <c r="G399" s="29">
        <v>160.04999999999998</v>
      </c>
      <c r="H399" s="29" t="s">
        <v>355</v>
      </c>
      <c r="I399" s="31" t="str">
        <f t="shared" si="6"/>
        <v>Mar</v>
      </c>
    </row>
    <row r="400" spans="1:9" x14ac:dyDescent="0.25">
      <c r="A400" s="24">
        <v>11070</v>
      </c>
      <c r="B400" s="25" t="s">
        <v>160</v>
      </c>
      <c r="C400" s="26">
        <v>43225</v>
      </c>
      <c r="D400" s="26">
        <v>43253</v>
      </c>
      <c r="E400" s="26"/>
      <c r="F400" s="25" t="s">
        <v>645</v>
      </c>
      <c r="G400" s="25">
        <v>680</v>
      </c>
      <c r="H400" s="25" t="s">
        <v>355</v>
      </c>
      <c r="I400" s="27" t="str">
        <f t="shared" si="6"/>
        <v>May</v>
      </c>
    </row>
    <row r="401" spans="1:9" x14ac:dyDescent="0.25">
      <c r="A401" s="28">
        <v>10579</v>
      </c>
      <c r="B401" s="29" t="s">
        <v>163</v>
      </c>
      <c r="C401" s="30">
        <v>42911</v>
      </c>
      <c r="D401" s="30">
        <v>42939</v>
      </c>
      <c r="E401" s="30">
        <v>42920</v>
      </c>
      <c r="F401" s="29" t="s">
        <v>646</v>
      </c>
      <c r="G401" s="29">
        <v>68.650000000000006</v>
      </c>
      <c r="H401" s="29" t="s">
        <v>13</v>
      </c>
      <c r="I401" s="31" t="str">
        <f t="shared" si="6"/>
        <v>Jun</v>
      </c>
    </row>
    <row r="402" spans="1:9" x14ac:dyDescent="0.25">
      <c r="A402" s="24">
        <v>10719</v>
      </c>
      <c r="B402" s="25" t="s">
        <v>163</v>
      </c>
      <c r="C402" s="26">
        <v>43035</v>
      </c>
      <c r="D402" s="26">
        <v>43063</v>
      </c>
      <c r="E402" s="26">
        <v>43044</v>
      </c>
      <c r="F402" s="25" t="s">
        <v>646</v>
      </c>
      <c r="G402" s="25">
        <v>257.2</v>
      </c>
      <c r="H402" s="25" t="s">
        <v>13</v>
      </c>
      <c r="I402" s="27" t="str">
        <f t="shared" si="6"/>
        <v>Oct</v>
      </c>
    </row>
    <row r="403" spans="1:9" x14ac:dyDescent="0.25">
      <c r="A403" s="28">
        <v>10735</v>
      </c>
      <c r="B403" s="29" t="s">
        <v>163</v>
      </c>
      <c r="C403" s="30">
        <v>43049</v>
      </c>
      <c r="D403" s="30">
        <v>43077</v>
      </c>
      <c r="E403" s="30">
        <v>43060</v>
      </c>
      <c r="F403" s="29" t="s">
        <v>646</v>
      </c>
      <c r="G403" s="29">
        <v>229.85</v>
      </c>
      <c r="H403" s="29" t="s">
        <v>13</v>
      </c>
      <c r="I403" s="31" t="str">
        <f t="shared" si="6"/>
        <v>Nov</v>
      </c>
    </row>
    <row r="404" spans="1:9" x14ac:dyDescent="0.25">
      <c r="A404" s="24">
        <v>10884</v>
      </c>
      <c r="B404" s="25" t="s">
        <v>163</v>
      </c>
      <c r="C404" s="26">
        <v>43143</v>
      </c>
      <c r="D404" s="26">
        <v>43171</v>
      </c>
      <c r="E404" s="26">
        <v>43144</v>
      </c>
      <c r="F404" s="25" t="s">
        <v>646</v>
      </c>
      <c r="G404" s="25">
        <v>454.85</v>
      </c>
      <c r="H404" s="25" t="s">
        <v>13</v>
      </c>
      <c r="I404" s="27" t="str">
        <f t="shared" si="6"/>
        <v>Feb</v>
      </c>
    </row>
    <row r="405" spans="1:9" x14ac:dyDescent="0.25">
      <c r="A405" s="28">
        <v>10283</v>
      </c>
      <c r="B405" s="29" t="s">
        <v>166</v>
      </c>
      <c r="C405" s="30">
        <v>42598</v>
      </c>
      <c r="D405" s="30">
        <v>42626</v>
      </c>
      <c r="E405" s="30">
        <v>42605</v>
      </c>
      <c r="F405" s="29" t="s">
        <v>647</v>
      </c>
      <c r="G405" s="29">
        <v>424.05</v>
      </c>
      <c r="H405" s="29" t="s">
        <v>356</v>
      </c>
      <c r="I405" s="31" t="str">
        <f t="shared" si="6"/>
        <v>Aug</v>
      </c>
    </row>
    <row r="406" spans="1:9" x14ac:dyDescent="0.25">
      <c r="A406" s="24">
        <v>10296</v>
      </c>
      <c r="B406" s="25" t="s">
        <v>166</v>
      </c>
      <c r="C406" s="26">
        <v>42616</v>
      </c>
      <c r="D406" s="26">
        <v>42644</v>
      </c>
      <c r="E406" s="26">
        <v>42624</v>
      </c>
      <c r="F406" s="25" t="s">
        <v>645</v>
      </c>
      <c r="G406" s="25">
        <v>0.6</v>
      </c>
      <c r="H406" s="25" t="s">
        <v>356</v>
      </c>
      <c r="I406" s="27" t="str">
        <f t="shared" si="6"/>
        <v>Sep</v>
      </c>
    </row>
    <row r="407" spans="1:9" x14ac:dyDescent="0.25">
      <c r="A407" s="28">
        <v>10330</v>
      </c>
      <c r="B407" s="29" t="s">
        <v>166</v>
      </c>
      <c r="C407" s="30">
        <v>42659</v>
      </c>
      <c r="D407" s="30">
        <v>42687</v>
      </c>
      <c r="E407" s="30">
        <v>42671</v>
      </c>
      <c r="F407" s="29" t="s">
        <v>645</v>
      </c>
      <c r="G407" s="29">
        <v>63.75</v>
      </c>
      <c r="H407" s="29" t="s">
        <v>356</v>
      </c>
      <c r="I407" s="31" t="str">
        <f t="shared" si="6"/>
        <v>Oct</v>
      </c>
    </row>
    <row r="408" spans="1:9" x14ac:dyDescent="0.25">
      <c r="A408" s="24">
        <v>10357</v>
      </c>
      <c r="B408" s="25" t="s">
        <v>166</v>
      </c>
      <c r="C408" s="26">
        <v>42693</v>
      </c>
      <c r="D408" s="26">
        <v>42721</v>
      </c>
      <c r="E408" s="26">
        <v>42706</v>
      </c>
      <c r="F408" s="25" t="s">
        <v>647</v>
      </c>
      <c r="G408" s="25">
        <v>174.4</v>
      </c>
      <c r="H408" s="25" t="s">
        <v>356</v>
      </c>
      <c r="I408" s="27" t="str">
        <f t="shared" si="6"/>
        <v>Nov</v>
      </c>
    </row>
    <row r="409" spans="1:9" x14ac:dyDescent="0.25">
      <c r="A409" s="28">
        <v>10381</v>
      </c>
      <c r="B409" s="29" t="s">
        <v>166</v>
      </c>
      <c r="C409" s="30">
        <v>42716</v>
      </c>
      <c r="D409" s="30">
        <v>42744</v>
      </c>
      <c r="E409" s="30">
        <v>42717</v>
      </c>
      <c r="F409" s="29" t="s">
        <v>647</v>
      </c>
      <c r="G409" s="29">
        <v>39.950000000000003</v>
      </c>
      <c r="H409" s="29" t="s">
        <v>356</v>
      </c>
      <c r="I409" s="31" t="str">
        <f t="shared" si="6"/>
        <v>Dec</v>
      </c>
    </row>
    <row r="410" spans="1:9" x14ac:dyDescent="0.25">
      <c r="A410" s="24">
        <v>10461</v>
      </c>
      <c r="B410" s="25" t="s">
        <v>166</v>
      </c>
      <c r="C410" s="26">
        <v>42794</v>
      </c>
      <c r="D410" s="26">
        <v>42822</v>
      </c>
      <c r="E410" s="26">
        <v>42799</v>
      </c>
      <c r="F410" s="25" t="s">
        <v>647</v>
      </c>
      <c r="G410" s="25">
        <v>743.05000000000007</v>
      </c>
      <c r="H410" s="25" t="s">
        <v>356</v>
      </c>
      <c r="I410" s="27" t="str">
        <f t="shared" si="6"/>
        <v>Feb</v>
      </c>
    </row>
    <row r="411" spans="1:9" x14ac:dyDescent="0.25">
      <c r="A411" s="28">
        <v>10499</v>
      </c>
      <c r="B411" s="29" t="s">
        <v>166</v>
      </c>
      <c r="C411" s="30">
        <v>42833</v>
      </c>
      <c r="D411" s="30">
        <v>42861</v>
      </c>
      <c r="E411" s="30">
        <v>42841</v>
      </c>
      <c r="F411" s="29" t="s">
        <v>646</v>
      </c>
      <c r="G411" s="29">
        <v>510.09999999999997</v>
      </c>
      <c r="H411" s="29" t="s">
        <v>356</v>
      </c>
      <c r="I411" s="31" t="str">
        <f t="shared" si="6"/>
        <v>Apr</v>
      </c>
    </row>
    <row r="412" spans="1:9" x14ac:dyDescent="0.25">
      <c r="A412" s="24">
        <v>10543</v>
      </c>
      <c r="B412" s="25" t="s">
        <v>166</v>
      </c>
      <c r="C412" s="26">
        <v>42876</v>
      </c>
      <c r="D412" s="26">
        <v>42904</v>
      </c>
      <c r="E412" s="26">
        <v>42878</v>
      </c>
      <c r="F412" s="25" t="s">
        <v>646</v>
      </c>
      <c r="G412" s="25">
        <v>240.85000000000002</v>
      </c>
      <c r="H412" s="25" t="s">
        <v>356</v>
      </c>
      <c r="I412" s="27" t="str">
        <f t="shared" si="6"/>
        <v>May</v>
      </c>
    </row>
    <row r="413" spans="1:9" x14ac:dyDescent="0.25">
      <c r="A413" s="28">
        <v>10780</v>
      </c>
      <c r="B413" s="29" t="s">
        <v>166</v>
      </c>
      <c r="C413" s="30">
        <v>43085</v>
      </c>
      <c r="D413" s="30">
        <v>43099</v>
      </c>
      <c r="E413" s="30">
        <v>43094</v>
      </c>
      <c r="F413" s="29" t="s">
        <v>645</v>
      </c>
      <c r="G413" s="29">
        <v>210.65</v>
      </c>
      <c r="H413" s="29" t="s">
        <v>356</v>
      </c>
      <c r="I413" s="31" t="str">
        <f t="shared" si="6"/>
        <v>Dec</v>
      </c>
    </row>
    <row r="414" spans="1:9" x14ac:dyDescent="0.25">
      <c r="A414" s="24">
        <v>10823</v>
      </c>
      <c r="B414" s="25" t="s">
        <v>166</v>
      </c>
      <c r="C414" s="26">
        <v>43109</v>
      </c>
      <c r="D414" s="26">
        <v>43137</v>
      </c>
      <c r="E414" s="26">
        <v>43113</v>
      </c>
      <c r="F414" s="25" t="s">
        <v>646</v>
      </c>
      <c r="G414" s="25">
        <v>819.85</v>
      </c>
      <c r="H414" s="25" t="s">
        <v>356</v>
      </c>
      <c r="I414" s="27" t="str">
        <f t="shared" si="6"/>
        <v>Jan</v>
      </c>
    </row>
    <row r="415" spans="1:9" x14ac:dyDescent="0.25">
      <c r="A415" s="28">
        <v>10899</v>
      </c>
      <c r="B415" s="29" t="s">
        <v>166</v>
      </c>
      <c r="C415" s="30">
        <v>43151</v>
      </c>
      <c r="D415" s="30">
        <v>43179</v>
      </c>
      <c r="E415" s="30">
        <v>43157</v>
      </c>
      <c r="F415" s="29" t="s">
        <v>647</v>
      </c>
      <c r="G415" s="29">
        <v>6.05</v>
      </c>
      <c r="H415" s="29" t="s">
        <v>356</v>
      </c>
      <c r="I415" s="31" t="str">
        <f t="shared" si="6"/>
        <v>Feb</v>
      </c>
    </row>
    <row r="416" spans="1:9" x14ac:dyDescent="0.25">
      <c r="A416" s="24">
        <v>10997</v>
      </c>
      <c r="B416" s="25" t="s">
        <v>166</v>
      </c>
      <c r="C416" s="26">
        <v>43193</v>
      </c>
      <c r="D416" s="26">
        <v>43235</v>
      </c>
      <c r="E416" s="26">
        <v>43203</v>
      </c>
      <c r="F416" s="25" t="s">
        <v>646</v>
      </c>
      <c r="G416" s="25">
        <v>369.54999999999995</v>
      </c>
      <c r="H416" s="25" t="s">
        <v>356</v>
      </c>
      <c r="I416" s="27" t="str">
        <f t="shared" si="6"/>
        <v>Apr</v>
      </c>
    </row>
    <row r="417" spans="1:9" x14ac:dyDescent="0.25">
      <c r="A417" s="28">
        <v>11065</v>
      </c>
      <c r="B417" s="29" t="s">
        <v>166</v>
      </c>
      <c r="C417" s="30">
        <v>43221</v>
      </c>
      <c r="D417" s="30">
        <v>43249</v>
      </c>
      <c r="E417" s="30"/>
      <c r="F417" s="29" t="s">
        <v>645</v>
      </c>
      <c r="G417" s="29">
        <v>64.55</v>
      </c>
      <c r="H417" s="29" t="s">
        <v>356</v>
      </c>
      <c r="I417" s="31" t="str">
        <f t="shared" si="6"/>
        <v>May</v>
      </c>
    </row>
    <row r="418" spans="1:9" x14ac:dyDescent="0.25">
      <c r="A418" s="24">
        <v>11071</v>
      </c>
      <c r="B418" s="25" t="s">
        <v>166</v>
      </c>
      <c r="C418" s="26">
        <v>43225</v>
      </c>
      <c r="D418" s="26">
        <v>43253</v>
      </c>
      <c r="E418" s="26"/>
      <c r="F418" s="25" t="s">
        <v>645</v>
      </c>
      <c r="G418" s="25">
        <v>4.6500000000000004</v>
      </c>
      <c r="H418" s="25" t="s">
        <v>356</v>
      </c>
      <c r="I418" s="27" t="str">
        <f t="shared" si="6"/>
        <v>May</v>
      </c>
    </row>
    <row r="419" spans="1:9" x14ac:dyDescent="0.25">
      <c r="A419" s="28">
        <v>10405</v>
      </c>
      <c r="B419" s="29" t="s">
        <v>169</v>
      </c>
      <c r="C419" s="30">
        <v>42741</v>
      </c>
      <c r="D419" s="30">
        <v>42769</v>
      </c>
      <c r="E419" s="30">
        <v>42757</v>
      </c>
      <c r="F419" s="29" t="s">
        <v>645</v>
      </c>
      <c r="G419" s="29">
        <v>174.1</v>
      </c>
      <c r="H419" s="29" t="s">
        <v>357</v>
      </c>
      <c r="I419" s="31" t="str">
        <f t="shared" si="6"/>
        <v>Jan</v>
      </c>
    </row>
    <row r="420" spans="1:9" x14ac:dyDescent="0.25">
      <c r="A420" s="24">
        <v>10485</v>
      </c>
      <c r="B420" s="25" t="s">
        <v>169</v>
      </c>
      <c r="C420" s="26">
        <v>42819</v>
      </c>
      <c r="D420" s="26">
        <v>42833</v>
      </c>
      <c r="E420" s="26">
        <v>42825</v>
      </c>
      <c r="F420" s="25" t="s">
        <v>646</v>
      </c>
      <c r="G420" s="25">
        <v>322.25</v>
      </c>
      <c r="H420" s="25" t="s">
        <v>357</v>
      </c>
      <c r="I420" s="27" t="str">
        <f t="shared" si="6"/>
        <v>Mar</v>
      </c>
    </row>
    <row r="421" spans="1:9" x14ac:dyDescent="0.25">
      <c r="A421" s="28">
        <v>10638</v>
      </c>
      <c r="B421" s="29" t="s">
        <v>169</v>
      </c>
      <c r="C421" s="30">
        <v>42967</v>
      </c>
      <c r="D421" s="30">
        <v>42995</v>
      </c>
      <c r="E421" s="30">
        <v>42979</v>
      </c>
      <c r="F421" s="29" t="s">
        <v>645</v>
      </c>
      <c r="G421" s="29">
        <v>792.2</v>
      </c>
      <c r="H421" s="29" t="s">
        <v>357</v>
      </c>
      <c r="I421" s="31" t="str">
        <f t="shared" si="6"/>
        <v>Aug</v>
      </c>
    </row>
    <row r="422" spans="1:9" x14ac:dyDescent="0.25">
      <c r="A422" s="24">
        <v>10697</v>
      </c>
      <c r="B422" s="25" t="s">
        <v>169</v>
      </c>
      <c r="C422" s="26">
        <v>43016</v>
      </c>
      <c r="D422" s="26">
        <v>43044</v>
      </c>
      <c r="E422" s="26">
        <v>43022</v>
      </c>
      <c r="F422" s="25" t="s">
        <v>645</v>
      </c>
      <c r="G422" s="25">
        <v>227.60000000000002</v>
      </c>
      <c r="H422" s="25" t="s">
        <v>357</v>
      </c>
      <c r="I422" s="27" t="str">
        <f t="shared" si="6"/>
        <v>Oct</v>
      </c>
    </row>
    <row r="423" spans="1:9" x14ac:dyDescent="0.25">
      <c r="A423" s="28">
        <v>10729</v>
      </c>
      <c r="B423" s="29" t="s">
        <v>169</v>
      </c>
      <c r="C423" s="30">
        <v>43043</v>
      </c>
      <c r="D423" s="30">
        <v>43085</v>
      </c>
      <c r="E423" s="30">
        <v>43053</v>
      </c>
      <c r="F423" s="29" t="s">
        <v>647</v>
      </c>
      <c r="G423" s="29">
        <v>705.3</v>
      </c>
      <c r="H423" s="29" t="s">
        <v>357</v>
      </c>
      <c r="I423" s="31" t="str">
        <f t="shared" si="6"/>
        <v>Nov</v>
      </c>
    </row>
    <row r="424" spans="1:9" x14ac:dyDescent="0.25">
      <c r="A424" s="24">
        <v>10811</v>
      </c>
      <c r="B424" s="25" t="s">
        <v>169</v>
      </c>
      <c r="C424" s="26">
        <v>43102</v>
      </c>
      <c r="D424" s="26">
        <v>43130</v>
      </c>
      <c r="E424" s="26">
        <v>43108</v>
      </c>
      <c r="F424" s="25" t="s">
        <v>645</v>
      </c>
      <c r="G424" s="25">
        <v>156.1</v>
      </c>
      <c r="H424" s="25" t="s">
        <v>357</v>
      </c>
      <c r="I424" s="27" t="str">
        <f t="shared" si="6"/>
        <v>Jan</v>
      </c>
    </row>
    <row r="425" spans="1:9" x14ac:dyDescent="0.25">
      <c r="A425" s="28">
        <v>10838</v>
      </c>
      <c r="B425" s="29" t="s">
        <v>169</v>
      </c>
      <c r="C425" s="30">
        <v>43119</v>
      </c>
      <c r="D425" s="30">
        <v>43147</v>
      </c>
      <c r="E425" s="30">
        <v>43123</v>
      </c>
      <c r="F425" s="29" t="s">
        <v>647</v>
      </c>
      <c r="G425" s="29">
        <v>296.39999999999998</v>
      </c>
      <c r="H425" s="29" t="s">
        <v>357</v>
      </c>
      <c r="I425" s="31" t="str">
        <f t="shared" si="6"/>
        <v>Jan</v>
      </c>
    </row>
    <row r="426" spans="1:9" x14ac:dyDescent="0.25">
      <c r="A426" s="24">
        <v>10840</v>
      </c>
      <c r="B426" s="25" t="s">
        <v>169</v>
      </c>
      <c r="C426" s="26">
        <v>43119</v>
      </c>
      <c r="D426" s="26">
        <v>43161</v>
      </c>
      <c r="E426" s="26">
        <v>43147</v>
      </c>
      <c r="F426" s="25" t="s">
        <v>646</v>
      </c>
      <c r="G426" s="25">
        <v>13.55</v>
      </c>
      <c r="H426" s="25" t="s">
        <v>357</v>
      </c>
      <c r="I426" s="27" t="str">
        <f t="shared" si="6"/>
        <v>Jan</v>
      </c>
    </row>
    <row r="427" spans="1:9" x14ac:dyDescent="0.25">
      <c r="A427" s="28">
        <v>10919</v>
      </c>
      <c r="B427" s="29" t="s">
        <v>169</v>
      </c>
      <c r="C427" s="30">
        <v>43161</v>
      </c>
      <c r="D427" s="30">
        <v>43189</v>
      </c>
      <c r="E427" s="30">
        <v>43163</v>
      </c>
      <c r="F427" s="29" t="s">
        <v>646</v>
      </c>
      <c r="G427" s="29">
        <v>99</v>
      </c>
      <c r="H427" s="29" t="s">
        <v>357</v>
      </c>
      <c r="I427" s="31" t="str">
        <f t="shared" si="6"/>
        <v>Mar</v>
      </c>
    </row>
    <row r="428" spans="1:9" x14ac:dyDescent="0.25">
      <c r="A428" s="24">
        <v>10954</v>
      </c>
      <c r="B428" s="25" t="s">
        <v>169</v>
      </c>
      <c r="C428" s="26">
        <v>43176</v>
      </c>
      <c r="D428" s="26">
        <v>43218</v>
      </c>
      <c r="E428" s="26">
        <v>43179</v>
      </c>
      <c r="F428" s="25" t="s">
        <v>645</v>
      </c>
      <c r="G428" s="25">
        <v>139.55000000000001</v>
      </c>
      <c r="H428" s="25" t="s">
        <v>357</v>
      </c>
      <c r="I428" s="27" t="str">
        <f t="shared" si="6"/>
        <v>Mar</v>
      </c>
    </row>
    <row r="429" spans="1:9" x14ac:dyDescent="0.25">
      <c r="A429" s="28">
        <v>11014</v>
      </c>
      <c r="B429" s="29" t="s">
        <v>169</v>
      </c>
      <c r="C429" s="30">
        <v>43200</v>
      </c>
      <c r="D429" s="30">
        <v>43228</v>
      </c>
      <c r="E429" s="30">
        <v>43205</v>
      </c>
      <c r="F429" s="29" t="s">
        <v>647</v>
      </c>
      <c r="G429" s="29">
        <v>118</v>
      </c>
      <c r="H429" s="29" t="s">
        <v>357</v>
      </c>
      <c r="I429" s="31" t="str">
        <f t="shared" si="6"/>
        <v>Apr</v>
      </c>
    </row>
    <row r="430" spans="1:9" x14ac:dyDescent="0.25">
      <c r="A430" s="24">
        <v>11039</v>
      </c>
      <c r="B430" s="25" t="s">
        <v>169</v>
      </c>
      <c r="C430" s="26">
        <v>43211</v>
      </c>
      <c r="D430" s="26">
        <v>43239</v>
      </c>
      <c r="E430" s="26"/>
      <c r="F430" s="25" t="s">
        <v>646</v>
      </c>
      <c r="G430" s="25">
        <v>325</v>
      </c>
      <c r="H430" s="25" t="s">
        <v>357</v>
      </c>
      <c r="I430" s="27" t="str">
        <f t="shared" si="6"/>
        <v>Apr</v>
      </c>
    </row>
    <row r="431" spans="1:9" x14ac:dyDescent="0.25">
      <c r="A431" s="28">
        <v>10307</v>
      </c>
      <c r="B431" s="29" t="s">
        <v>172</v>
      </c>
      <c r="C431" s="30">
        <v>42630</v>
      </c>
      <c r="D431" s="30">
        <v>42658</v>
      </c>
      <c r="E431" s="30">
        <v>42638</v>
      </c>
      <c r="F431" s="29" t="s">
        <v>646</v>
      </c>
      <c r="G431" s="29">
        <v>2.8000000000000003</v>
      </c>
      <c r="H431" s="29" t="s">
        <v>358</v>
      </c>
      <c r="I431" s="31" t="str">
        <f t="shared" si="6"/>
        <v>Sep</v>
      </c>
    </row>
    <row r="432" spans="1:9" x14ac:dyDescent="0.25">
      <c r="A432" s="24">
        <v>10317</v>
      </c>
      <c r="B432" s="25" t="s">
        <v>172</v>
      </c>
      <c r="C432" s="26">
        <v>42643</v>
      </c>
      <c r="D432" s="26">
        <v>42671</v>
      </c>
      <c r="E432" s="26">
        <v>42653</v>
      </c>
      <c r="F432" s="25" t="s">
        <v>645</v>
      </c>
      <c r="G432" s="25">
        <v>63.449999999999996</v>
      </c>
      <c r="H432" s="25" t="s">
        <v>358</v>
      </c>
      <c r="I432" s="27" t="str">
        <f t="shared" si="6"/>
        <v>Sep</v>
      </c>
    </row>
    <row r="433" spans="1:9" x14ac:dyDescent="0.25">
      <c r="A433" s="28">
        <v>10544</v>
      </c>
      <c r="B433" s="29" t="s">
        <v>172</v>
      </c>
      <c r="C433" s="30">
        <v>42876</v>
      </c>
      <c r="D433" s="30">
        <v>42904</v>
      </c>
      <c r="E433" s="30">
        <v>42885</v>
      </c>
      <c r="F433" s="29" t="s">
        <v>645</v>
      </c>
      <c r="G433" s="29">
        <v>124.55</v>
      </c>
      <c r="H433" s="29" t="s">
        <v>358</v>
      </c>
      <c r="I433" s="31" t="str">
        <f t="shared" si="6"/>
        <v>May</v>
      </c>
    </row>
    <row r="434" spans="1:9" x14ac:dyDescent="0.25">
      <c r="A434" s="24">
        <v>10662</v>
      </c>
      <c r="B434" s="25" t="s">
        <v>172</v>
      </c>
      <c r="C434" s="26">
        <v>42987</v>
      </c>
      <c r="D434" s="26">
        <v>43015</v>
      </c>
      <c r="E434" s="26">
        <v>42996</v>
      </c>
      <c r="F434" s="25" t="s">
        <v>646</v>
      </c>
      <c r="G434" s="25">
        <v>6.4</v>
      </c>
      <c r="H434" s="25" t="s">
        <v>358</v>
      </c>
      <c r="I434" s="27" t="str">
        <f t="shared" si="6"/>
        <v>Sep</v>
      </c>
    </row>
    <row r="435" spans="1:9" x14ac:dyDescent="0.25">
      <c r="A435" s="28">
        <v>10665</v>
      </c>
      <c r="B435" s="29" t="s">
        <v>172</v>
      </c>
      <c r="C435" s="30">
        <v>42989</v>
      </c>
      <c r="D435" s="30">
        <v>43017</v>
      </c>
      <c r="E435" s="30">
        <v>42995</v>
      </c>
      <c r="F435" s="29" t="s">
        <v>646</v>
      </c>
      <c r="G435" s="29">
        <v>131.54999999999998</v>
      </c>
      <c r="H435" s="29" t="s">
        <v>358</v>
      </c>
      <c r="I435" s="31" t="str">
        <f t="shared" si="6"/>
        <v>Sep</v>
      </c>
    </row>
    <row r="436" spans="1:9" x14ac:dyDescent="0.25">
      <c r="A436" s="24">
        <v>10867</v>
      </c>
      <c r="B436" s="25" t="s">
        <v>172</v>
      </c>
      <c r="C436" s="26">
        <v>43134</v>
      </c>
      <c r="D436" s="26">
        <v>43176</v>
      </c>
      <c r="E436" s="26">
        <v>43142</v>
      </c>
      <c r="F436" s="25" t="s">
        <v>645</v>
      </c>
      <c r="G436" s="25">
        <v>9.65</v>
      </c>
      <c r="H436" s="25" t="s">
        <v>358</v>
      </c>
      <c r="I436" s="27" t="str">
        <f t="shared" si="6"/>
        <v>Feb</v>
      </c>
    </row>
    <row r="437" spans="1:9" x14ac:dyDescent="0.25">
      <c r="A437" s="28">
        <v>10883</v>
      </c>
      <c r="B437" s="29" t="s">
        <v>172</v>
      </c>
      <c r="C437" s="30">
        <v>43143</v>
      </c>
      <c r="D437" s="30">
        <v>43171</v>
      </c>
      <c r="E437" s="30">
        <v>43151</v>
      </c>
      <c r="F437" s="29" t="s">
        <v>647</v>
      </c>
      <c r="G437" s="29">
        <v>2.6500000000000004</v>
      </c>
      <c r="H437" s="29" t="s">
        <v>358</v>
      </c>
      <c r="I437" s="31" t="str">
        <f t="shared" si="6"/>
        <v>Feb</v>
      </c>
    </row>
    <row r="438" spans="1:9" x14ac:dyDescent="0.25">
      <c r="A438" s="24">
        <v>11018</v>
      </c>
      <c r="B438" s="25" t="s">
        <v>172</v>
      </c>
      <c r="C438" s="26">
        <v>43203</v>
      </c>
      <c r="D438" s="26">
        <v>43231</v>
      </c>
      <c r="E438" s="26">
        <v>43206</v>
      </c>
      <c r="F438" s="25" t="s">
        <v>646</v>
      </c>
      <c r="G438" s="25">
        <v>58.25</v>
      </c>
      <c r="H438" s="25" t="s">
        <v>358</v>
      </c>
      <c r="I438" s="27" t="str">
        <f t="shared" si="6"/>
        <v>Apr</v>
      </c>
    </row>
    <row r="439" spans="1:9" x14ac:dyDescent="0.25">
      <c r="A439" s="28">
        <v>10275</v>
      </c>
      <c r="B439" s="29" t="s">
        <v>175</v>
      </c>
      <c r="C439" s="30">
        <v>42589</v>
      </c>
      <c r="D439" s="30">
        <v>42617</v>
      </c>
      <c r="E439" s="30">
        <v>42591</v>
      </c>
      <c r="F439" s="29" t="s">
        <v>645</v>
      </c>
      <c r="G439" s="29">
        <v>134.65</v>
      </c>
      <c r="H439" s="29" t="s">
        <v>359</v>
      </c>
      <c r="I439" s="31" t="str">
        <f t="shared" si="6"/>
        <v>Aug</v>
      </c>
    </row>
    <row r="440" spans="1:9" x14ac:dyDescent="0.25">
      <c r="A440" s="24">
        <v>10300</v>
      </c>
      <c r="B440" s="25" t="s">
        <v>175</v>
      </c>
      <c r="C440" s="26">
        <v>42622</v>
      </c>
      <c r="D440" s="26">
        <v>42650</v>
      </c>
      <c r="E440" s="26">
        <v>42631</v>
      </c>
      <c r="F440" s="25" t="s">
        <v>646</v>
      </c>
      <c r="G440" s="25">
        <v>88.4</v>
      </c>
      <c r="H440" s="25" t="s">
        <v>359</v>
      </c>
      <c r="I440" s="27" t="str">
        <f t="shared" si="6"/>
        <v>Sep</v>
      </c>
    </row>
    <row r="441" spans="1:9" x14ac:dyDescent="0.25">
      <c r="A441" s="28">
        <v>10404</v>
      </c>
      <c r="B441" s="29" t="s">
        <v>175</v>
      </c>
      <c r="C441" s="30">
        <v>42738</v>
      </c>
      <c r="D441" s="30">
        <v>42766</v>
      </c>
      <c r="E441" s="30">
        <v>42743</v>
      </c>
      <c r="F441" s="29" t="s">
        <v>645</v>
      </c>
      <c r="G441" s="29">
        <v>779.85</v>
      </c>
      <c r="H441" s="29" t="s">
        <v>359</v>
      </c>
      <c r="I441" s="31" t="str">
        <f t="shared" si="6"/>
        <v>Jan</v>
      </c>
    </row>
    <row r="442" spans="1:9" x14ac:dyDescent="0.25">
      <c r="A442" s="24">
        <v>10467</v>
      </c>
      <c r="B442" s="25" t="s">
        <v>175</v>
      </c>
      <c r="C442" s="26">
        <v>42800</v>
      </c>
      <c r="D442" s="26">
        <v>42828</v>
      </c>
      <c r="E442" s="26">
        <v>42805</v>
      </c>
      <c r="F442" s="25" t="s">
        <v>646</v>
      </c>
      <c r="G442" s="25">
        <v>24.65</v>
      </c>
      <c r="H442" s="25" t="s">
        <v>359</v>
      </c>
      <c r="I442" s="27" t="str">
        <f t="shared" si="6"/>
        <v>Mar</v>
      </c>
    </row>
    <row r="443" spans="1:9" x14ac:dyDescent="0.25">
      <c r="A443" s="28">
        <v>10635</v>
      </c>
      <c r="B443" s="29" t="s">
        <v>175</v>
      </c>
      <c r="C443" s="30">
        <v>42965</v>
      </c>
      <c r="D443" s="30">
        <v>42993</v>
      </c>
      <c r="E443" s="30">
        <v>42968</v>
      </c>
      <c r="F443" s="29" t="s">
        <v>647</v>
      </c>
      <c r="G443" s="29">
        <v>237.3</v>
      </c>
      <c r="H443" s="29" t="s">
        <v>359</v>
      </c>
      <c r="I443" s="31" t="str">
        <f t="shared" si="6"/>
        <v>Aug</v>
      </c>
    </row>
    <row r="444" spans="1:9" x14ac:dyDescent="0.25">
      <c r="A444" s="24">
        <v>10754</v>
      </c>
      <c r="B444" s="25" t="s">
        <v>175</v>
      </c>
      <c r="C444" s="26">
        <v>43064</v>
      </c>
      <c r="D444" s="26">
        <v>43092</v>
      </c>
      <c r="E444" s="26">
        <v>43066</v>
      </c>
      <c r="F444" s="25" t="s">
        <v>647</v>
      </c>
      <c r="G444" s="25">
        <v>11.899999999999999</v>
      </c>
      <c r="H444" s="25" t="s">
        <v>359</v>
      </c>
      <c r="I444" s="27" t="str">
        <f t="shared" si="6"/>
        <v>Nov</v>
      </c>
    </row>
    <row r="445" spans="1:9" x14ac:dyDescent="0.25">
      <c r="A445" s="28">
        <v>10784</v>
      </c>
      <c r="B445" s="29" t="s">
        <v>175</v>
      </c>
      <c r="C445" s="30">
        <v>43087</v>
      </c>
      <c r="D445" s="30">
        <v>43115</v>
      </c>
      <c r="E445" s="30">
        <v>43091</v>
      </c>
      <c r="F445" s="29" t="s">
        <v>647</v>
      </c>
      <c r="G445" s="29">
        <v>350.45000000000005</v>
      </c>
      <c r="H445" s="29" t="s">
        <v>359</v>
      </c>
      <c r="I445" s="31" t="str">
        <f t="shared" si="6"/>
        <v>Dec</v>
      </c>
    </row>
    <row r="446" spans="1:9" x14ac:dyDescent="0.25">
      <c r="A446" s="24">
        <v>10818</v>
      </c>
      <c r="B446" s="25" t="s">
        <v>175</v>
      </c>
      <c r="C446" s="26">
        <v>43107</v>
      </c>
      <c r="D446" s="26">
        <v>43135</v>
      </c>
      <c r="E446" s="26">
        <v>43112</v>
      </c>
      <c r="F446" s="25" t="s">
        <v>647</v>
      </c>
      <c r="G446" s="25">
        <v>327.40000000000003</v>
      </c>
      <c r="H446" s="25" t="s">
        <v>359</v>
      </c>
      <c r="I446" s="27" t="str">
        <f t="shared" si="6"/>
        <v>Jan</v>
      </c>
    </row>
    <row r="447" spans="1:9" x14ac:dyDescent="0.25">
      <c r="A447" s="28">
        <v>10939</v>
      </c>
      <c r="B447" s="29" t="s">
        <v>175</v>
      </c>
      <c r="C447" s="30">
        <v>43169</v>
      </c>
      <c r="D447" s="30">
        <v>43197</v>
      </c>
      <c r="E447" s="30">
        <v>43172</v>
      </c>
      <c r="F447" s="29" t="s">
        <v>646</v>
      </c>
      <c r="G447" s="29">
        <v>381.65</v>
      </c>
      <c r="H447" s="29" t="s">
        <v>359</v>
      </c>
      <c r="I447" s="31" t="str">
        <f t="shared" si="6"/>
        <v>Mar</v>
      </c>
    </row>
    <row r="448" spans="1:9" x14ac:dyDescent="0.25">
      <c r="A448" s="24">
        <v>10950</v>
      </c>
      <c r="B448" s="25" t="s">
        <v>175</v>
      </c>
      <c r="C448" s="26">
        <v>43175</v>
      </c>
      <c r="D448" s="26">
        <v>43203</v>
      </c>
      <c r="E448" s="26">
        <v>43182</v>
      </c>
      <c r="F448" s="25" t="s">
        <v>646</v>
      </c>
      <c r="G448" s="25">
        <v>12.5</v>
      </c>
      <c r="H448" s="25" t="s">
        <v>359</v>
      </c>
      <c r="I448" s="27" t="str">
        <f t="shared" si="6"/>
        <v>Mar</v>
      </c>
    </row>
    <row r="449" spans="1:9" x14ac:dyDescent="0.25">
      <c r="A449" s="28">
        <v>10529</v>
      </c>
      <c r="B449" s="29" t="s">
        <v>178</v>
      </c>
      <c r="C449" s="30">
        <v>42862</v>
      </c>
      <c r="D449" s="30">
        <v>42890</v>
      </c>
      <c r="E449" s="30">
        <v>42864</v>
      </c>
      <c r="F449" s="29" t="s">
        <v>646</v>
      </c>
      <c r="G449" s="29">
        <v>333.45</v>
      </c>
      <c r="H449" s="29" t="s">
        <v>12</v>
      </c>
      <c r="I449" s="31" t="str">
        <f t="shared" si="6"/>
        <v>May</v>
      </c>
    </row>
    <row r="450" spans="1:9" x14ac:dyDescent="0.25">
      <c r="A450" s="24">
        <v>10649</v>
      </c>
      <c r="B450" s="25" t="s">
        <v>178</v>
      </c>
      <c r="C450" s="26">
        <v>42975</v>
      </c>
      <c r="D450" s="26">
        <v>43003</v>
      </c>
      <c r="E450" s="26">
        <v>42976</v>
      </c>
      <c r="F450" s="25" t="s">
        <v>647</v>
      </c>
      <c r="G450" s="25">
        <v>31</v>
      </c>
      <c r="H450" s="25" t="s">
        <v>12</v>
      </c>
      <c r="I450" s="27" t="str">
        <f t="shared" si="6"/>
        <v>Aug</v>
      </c>
    </row>
    <row r="451" spans="1:9" x14ac:dyDescent="0.25">
      <c r="A451" s="28">
        <v>10760</v>
      </c>
      <c r="B451" s="29" t="s">
        <v>178</v>
      </c>
      <c r="C451" s="30">
        <v>43070</v>
      </c>
      <c r="D451" s="30">
        <v>43098</v>
      </c>
      <c r="E451" s="30">
        <v>43079</v>
      </c>
      <c r="F451" s="29" t="s">
        <v>645</v>
      </c>
      <c r="G451" s="29">
        <v>778.19999999999993</v>
      </c>
      <c r="H451" s="29" t="s">
        <v>12</v>
      </c>
      <c r="I451" s="31" t="str">
        <f t="shared" ref="I451:I514" si="7">TEXT(C451,"mmm")</f>
        <v>Dec</v>
      </c>
    </row>
    <row r="452" spans="1:9" x14ac:dyDescent="0.25">
      <c r="A452" s="24">
        <v>10892</v>
      </c>
      <c r="B452" s="25" t="s">
        <v>178</v>
      </c>
      <c r="C452" s="26">
        <v>43148</v>
      </c>
      <c r="D452" s="26">
        <v>43176</v>
      </c>
      <c r="E452" s="26">
        <v>43150</v>
      </c>
      <c r="F452" s="25" t="s">
        <v>646</v>
      </c>
      <c r="G452" s="25">
        <v>601.35</v>
      </c>
      <c r="H452" s="25" t="s">
        <v>12</v>
      </c>
      <c r="I452" s="27" t="str">
        <f t="shared" si="7"/>
        <v>Feb</v>
      </c>
    </row>
    <row r="453" spans="1:9" x14ac:dyDescent="0.25">
      <c r="A453" s="28">
        <v>10896</v>
      </c>
      <c r="B453" s="29" t="s">
        <v>178</v>
      </c>
      <c r="C453" s="30">
        <v>43150</v>
      </c>
      <c r="D453" s="30">
        <v>43178</v>
      </c>
      <c r="E453" s="30">
        <v>43158</v>
      </c>
      <c r="F453" s="29" t="s">
        <v>647</v>
      </c>
      <c r="G453" s="29">
        <v>162.25</v>
      </c>
      <c r="H453" s="29" t="s">
        <v>12</v>
      </c>
      <c r="I453" s="31" t="str">
        <f t="shared" si="7"/>
        <v>Feb</v>
      </c>
    </row>
    <row r="454" spans="1:9" x14ac:dyDescent="0.25">
      <c r="A454" s="24">
        <v>10978</v>
      </c>
      <c r="B454" s="25" t="s">
        <v>178</v>
      </c>
      <c r="C454" s="26">
        <v>43185</v>
      </c>
      <c r="D454" s="26">
        <v>43213</v>
      </c>
      <c r="E454" s="26">
        <v>43213</v>
      </c>
      <c r="F454" s="25" t="s">
        <v>646</v>
      </c>
      <c r="G454" s="25">
        <v>164.1</v>
      </c>
      <c r="H454" s="25" t="s">
        <v>12</v>
      </c>
      <c r="I454" s="27" t="str">
        <f t="shared" si="7"/>
        <v>Mar</v>
      </c>
    </row>
    <row r="455" spans="1:9" x14ac:dyDescent="0.25">
      <c r="A455" s="28">
        <v>11004</v>
      </c>
      <c r="B455" s="29" t="s">
        <v>178</v>
      </c>
      <c r="C455" s="30">
        <v>43197</v>
      </c>
      <c r="D455" s="30">
        <v>43225</v>
      </c>
      <c r="E455" s="30">
        <v>43210</v>
      </c>
      <c r="F455" s="29" t="s">
        <v>645</v>
      </c>
      <c r="G455" s="29">
        <v>224.20000000000002</v>
      </c>
      <c r="H455" s="29" t="s">
        <v>12</v>
      </c>
      <c r="I455" s="31" t="str">
        <f t="shared" si="7"/>
        <v>Apr</v>
      </c>
    </row>
    <row r="456" spans="1:9" x14ac:dyDescent="0.25">
      <c r="A456" s="24">
        <v>10332</v>
      </c>
      <c r="B456" s="25" t="s">
        <v>181</v>
      </c>
      <c r="C456" s="26">
        <v>42660</v>
      </c>
      <c r="D456" s="26">
        <v>42702</v>
      </c>
      <c r="E456" s="26">
        <v>42664</v>
      </c>
      <c r="F456" s="25" t="s">
        <v>646</v>
      </c>
      <c r="G456" s="25">
        <v>264.20000000000005</v>
      </c>
      <c r="H456" s="25" t="s">
        <v>360</v>
      </c>
      <c r="I456" s="27" t="str">
        <f t="shared" si="7"/>
        <v>Oct</v>
      </c>
    </row>
    <row r="457" spans="1:9" x14ac:dyDescent="0.25">
      <c r="A457" s="28">
        <v>10339</v>
      </c>
      <c r="B457" s="29" t="s">
        <v>181</v>
      </c>
      <c r="C457" s="30">
        <v>42671</v>
      </c>
      <c r="D457" s="30">
        <v>42699</v>
      </c>
      <c r="E457" s="30">
        <v>42678</v>
      </c>
      <c r="F457" s="29" t="s">
        <v>646</v>
      </c>
      <c r="G457" s="29">
        <v>78.3</v>
      </c>
      <c r="H457" s="29" t="s">
        <v>360</v>
      </c>
      <c r="I457" s="31" t="str">
        <f t="shared" si="7"/>
        <v>Oct</v>
      </c>
    </row>
    <row r="458" spans="1:9" x14ac:dyDescent="0.25">
      <c r="A458" s="24">
        <v>10376</v>
      </c>
      <c r="B458" s="25" t="s">
        <v>181</v>
      </c>
      <c r="C458" s="26">
        <v>42713</v>
      </c>
      <c r="D458" s="26">
        <v>42741</v>
      </c>
      <c r="E458" s="26">
        <v>42717</v>
      </c>
      <c r="F458" s="25" t="s">
        <v>646</v>
      </c>
      <c r="G458" s="25">
        <v>101.95</v>
      </c>
      <c r="H458" s="25" t="s">
        <v>360</v>
      </c>
      <c r="I458" s="27" t="str">
        <f t="shared" si="7"/>
        <v>Dec</v>
      </c>
    </row>
    <row r="459" spans="1:9" x14ac:dyDescent="0.25">
      <c r="A459" s="28">
        <v>10424</v>
      </c>
      <c r="B459" s="29" t="s">
        <v>181</v>
      </c>
      <c r="C459" s="30">
        <v>42758</v>
      </c>
      <c r="D459" s="30">
        <v>42786</v>
      </c>
      <c r="E459" s="30">
        <v>42762</v>
      </c>
      <c r="F459" s="29" t="s">
        <v>646</v>
      </c>
      <c r="G459" s="29">
        <v>1853.0500000000002</v>
      </c>
      <c r="H459" s="29" t="s">
        <v>360</v>
      </c>
      <c r="I459" s="31" t="str">
        <f t="shared" si="7"/>
        <v>Jan</v>
      </c>
    </row>
    <row r="460" spans="1:9" x14ac:dyDescent="0.25">
      <c r="A460" s="24">
        <v>10439</v>
      </c>
      <c r="B460" s="25" t="s">
        <v>181</v>
      </c>
      <c r="C460" s="26">
        <v>42773</v>
      </c>
      <c r="D460" s="26">
        <v>42801</v>
      </c>
      <c r="E460" s="26">
        <v>42776</v>
      </c>
      <c r="F460" s="25" t="s">
        <v>647</v>
      </c>
      <c r="G460" s="25">
        <v>20.350000000000001</v>
      </c>
      <c r="H460" s="25" t="s">
        <v>360</v>
      </c>
      <c r="I460" s="27" t="str">
        <f t="shared" si="7"/>
        <v>Feb</v>
      </c>
    </row>
    <row r="461" spans="1:9" x14ac:dyDescent="0.25">
      <c r="A461" s="28">
        <v>10505</v>
      </c>
      <c r="B461" s="29" t="s">
        <v>181</v>
      </c>
      <c r="C461" s="30">
        <v>42839</v>
      </c>
      <c r="D461" s="30">
        <v>42867</v>
      </c>
      <c r="E461" s="30">
        <v>42846</v>
      </c>
      <c r="F461" s="29" t="s">
        <v>647</v>
      </c>
      <c r="G461" s="29">
        <v>35.65</v>
      </c>
      <c r="H461" s="29" t="s">
        <v>360</v>
      </c>
      <c r="I461" s="31" t="str">
        <f t="shared" si="7"/>
        <v>Apr</v>
      </c>
    </row>
    <row r="462" spans="1:9" x14ac:dyDescent="0.25">
      <c r="A462" s="24">
        <v>10565</v>
      </c>
      <c r="B462" s="25" t="s">
        <v>181</v>
      </c>
      <c r="C462" s="26">
        <v>42897</v>
      </c>
      <c r="D462" s="26">
        <v>42925</v>
      </c>
      <c r="E462" s="26">
        <v>42904</v>
      </c>
      <c r="F462" s="25" t="s">
        <v>646</v>
      </c>
      <c r="G462" s="25">
        <v>35.75</v>
      </c>
      <c r="H462" s="25" t="s">
        <v>360</v>
      </c>
      <c r="I462" s="27" t="str">
        <f t="shared" si="7"/>
        <v>Jun</v>
      </c>
    </row>
    <row r="463" spans="1:9" x14ac:dyDescent="0.25">
      <c r="A463" s="28">
        <v>10570</v>
      </c>
      <c r="B463" s="29" t="s">
        <v>181</v>
      </c>
      <c r="C463" s="30">
        <v>42903</v>
      </c>
      <c r="D463" s="30">
        <v>42931</v>
      </c>
      <c r="E463" s="30">
        <v>42905</v>
      </c>
      <c r="F463" s="29" t="s">
        <v>647</v>
      </c>
      <c r="G463" s="29">
        <v>944.95</v>
      </c>
      <c r="H463" s="29" t="s">
        <v>360</v>
      </c>
      <c r="I463" s="31" t="str">
        <f t="shared" si="7"/>
        <v>Jun</v>
      </c>
    </row>
    <row r="464" spans="1:9" x14ac:dyDescent="0.25">
      <c r="A464" s="24">
        <v>10590</v>
      </c>
      <c r="B464" s="25" t="s">
        <v>181</v>
      </c>
      <c r="C464" s="26">
        <v>42923</v>
      </c>
      <c r="D464" s="26">
        <v>42951</v>
      </c>
      <c r="E464" s="26">
        <v>42930</v>
      </c>
      <c r="F464" s="25" t="s">
        <v>647</v>
      </c>
      <c r="G464" s="25">
        <v>223.85000000000002</v>
      </c>
      <c r="H464" s="25" t="s">
        <v>360</v>
      </c>
      <c r="I464" s="27" t="str">
        <f t="shared" si="7"/>
        <v>Jul</v>
      </c>
    </row>
    <row r="465" spans="1:9" x14ac:dyDescent="0.25">
      <c r="A465" s="28">
        <v>10605</v>
      </c>
      <c r="B465" s="29" t="s">
        <v>181</v>
      </c>
      <c r="C465" s="30">
        <v>42937</v>
      </c>
      <c r="D465" s="30">
        <v>42965</v>
      </c>
      <c r="E465" s="30">
        <v>42945</v>
      </c>
      <c r="F465" s="29" t="s">
        <v>646</v>
      </c>
      <c r="G465" s="29">
        <v>1895.65</v>
      </c>
      <c r="H465" s="29" t="s">
        <v>360</v>
      </c>
      <c r="I465" s="31" t="str">
        <f t="shared" si="7"/>
        <v>Jul</v>
      </c>
    </row>
    <row r="466" spans="1:9" x14ac:dyDescent="0.25">
      <c r="A466" s="24">
        <v>10618</v>
      </c>
      <c r="B466" s="25" t="s">
        <v>181</v>
      </c>
      <c r="C466" s="26">
        <v>42948</v>
      </c>
      <c r="D466" s="26">
        <v>42990</v>
      </c>
      <c r="E466" s="26">
        <v>42955</v>
      </c>
      <c r="F466" s="25" t="s">
        <v>645</v>
      </c>
      <c r="G466" s="25">
        <v>773.40000000000009</v>
      </c>
      <c r="H466" s="25" t="s">
        <v>360</v>
      </c>
      <c r="I466" s="27" t="str">
        <f t="shared" si="7"/>
        <v>Aug</v>
      </c>
    </row>
    <row r="467" spans="1:9" x14ac:dyDescent="0.25">
      <c r="A467" s="28">
        <v>10619</v>
      </c>
      <c r="B467" s="29" t="s">
        <v>181</v>
      </c>
      <c r="C467" s="30">
        <v>42951</v>
      </c>
      <c r="D467" s="30">
        <v>42979</v>
      </c>
      <c r="E467" s="30">
        <v>42954</v>
      </c>
      <c r="F467" s="29" t="s">
        <v>647</v>
      </c>
      <c r="G467" s="29">
        <v>455.25</v>
      </c>
      <c r="H467" s="29" t="s">
        <v>360</v>
      </c>
      <c r="I467" s="31" t="str">
        <f t="shared" si="7"/>
        <v>Aug</v>
      </c>
    </row>
    <row r="468" spans="1:9" x14ac:dyDescent="0.25">
      <c r="A468" s="24">
        <v>10724</v>
      </c>
      <c r="B468" s="25" t="s">
        <v>181</v>
      </c>
      <c r="C468" s="26">
        <v>43038</v>
      </c>
      <c r="D468" s="26">
        <v>43080</v>
      </c>
      <c r="E468" s="26">
        <v>43044</v>
      </c>
      <c r="F468" s="25" t="s">
        <v>646</v>
      </c>
      <c r="G468" s="25">
        <v>288.75</v>
      </c>
      <c r="H468" s="25" t="s">
        <v>360</v>
      </c>
      <c r="I468" s="27" t="str">
        <f t="shared" si="7"/>
        <v>Oct</v>
      </c>
    </row>
    <row r="469" spans="1:9" x14ac:dyDescent="0.25">
      <c r="A469" s="28">
        <v>10277</v>
      </c>
      <c r="B469" s="29" t="s">
        <v>184</v>
      </c>
      <c r="C469" s="30">
        <v>42591</v>
      </c>
      <c r="D469" s="30">
        <v>42619</v>
      </c>
      <c r="E469" s="30">
        <v>42595</v>
      </c>
      <c r="F469" s="29" t="s">
        <v>647</v>
      </c>
      <c r="G469" s="29">
        <v>628.85</v>
      </c>
      <c r="H469" s="29" t="s">
        <v>361</v>
      </c>
      <c r="I469" s="31" t="str">
        <f t="shared" si="7"/>
        <v>Aug</v>
      </c>
    </row>
    <row r="470" spans="1:9" x14ac:dyDescent="0.25">
      <c r="A470" s="24">
        <v>10575</v>
      </c>
      <c r="B470" s="25" t="s">
        <v>184</v>
      </c>
      <c r="C470" s="26">
        <v>42906</v>
      </c>
      <c r="D470" s="26">
        <v>42920</v>
      </c>
      <c r="E470" s="26">
        <v>42916</v>
      </c>
      <c r="F470" s="25" t="s">
        <v>645</v>
      </c>
      <c r="G470" s="25">
        <v>636.70000000000005</v>
      </c>
      <c r="H470" s="25" t="s">
        <v>361</v>
      </c>
      <c r="I470" s="27" t="str">
        <f t="shared" si="7"/>
        <v>Jun</v>
      </c>
    </row>
    <row r="471" spans="1:9" x14ac:dyDescent="0.25">
      <c r="A471" s="28">
        <v>10699</v>
      </c>
      <c r="B471" s="29" t="s">
        <v>184</v>
      </c>
      <c r="C471" s="30">
        <v>43017</v>
      </c>
      <c r="D471" s="30">
        <v>43045</v>
      </c>
      <c r="E471" s="30">
        <v>43021</v>
      </c>
      <c r="F471" s="29" t="s">
        <v>647</v>
      </c>
      <c r="G471" s="29">
        <v>2.9</v>
      </c>
      <c r="H471" s="29" t="s">
        <v>361</v>
      </c>
      <c r="I471" s="31" t="str">
        <f t="shared" si="7"/>
        <v>Oct</v>
      </c>
    </row>
    <row r="472" spans="1:9" x14ac:dyDescent="0.25">
      <c r="A472" s="24">
        <v>10779</v>
      </c>
      <c r="B472" s="25" t="s">
        <v>184</v>
      </c>
      <c r="C472" s="26">
        <v>43085</v>
      </c>
      <c r="D472" s="26">
        <v>43113</v>
      </c>
      <c r="E472" s="26">
        <v>43114</v>
      </c>
      <c r="F472" s="25" t="s">
        <v>646</v>
      </c>
      <c r="G472" s="25">
        <v>290.65000000000003</v>
      </c>
      <c r="H472" s="25" t="s">
        <v>361</v>
      </c>
      <c r="I472" s="27" t="str">
        <f t="shared" si="7"/>
        <v>Dec</v>
      </c>
    </row>
    <row r="473" spans="1:9" x14ac:dyDescent="0.25">
      <c r="A473" s="28">
        <v>10945</v>
      </c>
      <c r="B473" s="29" t="s">
        <v>184</v>
      </c>
      <c r="C473" s="30">
        <v>43171</v>
      </c>
      <c r="D473" s="30">
        <v>43199</v>
      </c>
      <c r="E473" s="30">
        <v>43177</v>
      </c>
      <c r="F473" s="29" t="s">
        <v>645</v>
      </c>
      <c r="G473" s="29">
        <v>51.1</v>
      </c>
      <c r="H473" s="29" t="s">
        <v>361</v>
      </c>
      <c r="I473" s="31" t="str">
        <f t="shared" si="7"/>
        <v>Mar</v>
      </c>
    </row>
    <row r="474" spans="1:9" x14ac:dyDescent="0.25">
      <c r="A474" s="24">
        <v>10517</v>
      </c>
      <c r="B474" s="25" t="s">
        <v>186</v>
      </c>
      <c r="C474" s="26">
        <v>42849</v>
      </c>
      <c r="D474" s="26">
        <v>42877</v>
      </c>
      <c r="E474" s="26">
        <v>42854</v>
      </c>
      <c r="F474" s="25" t="s">
        <v>647</v>
      </c>
      <c r="G474" s="25">
        <v>160.35</v>
      </c>
      <c r="H474" s="25" t="s">
        <v>362</v>
      </c>
      <c r="I474" s="27" t="str">
        <f t="shared" si="7"/>
        <v>Apr</v>
      </c>
    </row>
    <row r="475" spans="1:9" x14ac:dyDescent="0.25">
      <c r="A475" s="28">
        <v>10752</v>
      </c>
      <c r="B475" s="29" t="s">
        <v>186</v>
      </c>
      <c r="C475" s="30">
        <v>43063</v>
      </c>
      <c r="D475" s="30">
        <v>43091</v>
      </c>
      <c r="E475" s="30">
        <v>43067</v>
      </c>
      <c r="F475" s="29" t="s">
        <v>647</v>
      </c>
      <c r="G475" s="29">
        <v>6.9499999999999993</v>
      </c>
      <c r="H475" s="29" t="s">
        <v>362</v>
      </c>
      <c r="I475" s="31" t="str">
        <f t="shared" si="7"/>
        <v>Nov</v>
      </c>
    </row>
    <row r="476" spans="1:9" x14ac:dyDescent="0.25">
      <c r="A476" s="24">
        <v>11057</v>
      </c>
      <c r="B476" s="25" t="s">
        <v>186</v>
      </c>
      <c r="C476" s="26">
        <v>43219</v>
      </c>
      <c r="D476" s="26">
        <v>43247</v>
      </c>
      <c r="E476" s="26">
        <v>43221</v>
      </c>
      <c r="F476" s="25" t="s">
        <v>647</v>
      </c>
      <c r="G476" s="25">
        <v>20.65</v>
      </c>
      <c r="H476" s="25" t="s">
        <v>362</v>
      </c>
      <c r="I476" s="27" t="str">
        <f t="shared" si="7"/>
        <v>Apr</v>
      </c>
    </row>
    <row r="477" spans="1:9" x14ac:dyDescent="0.25">
      <c r="A477" s="28">
        <v>10409</v>
      </c>
      <c r="B477" s="29" t="s">
        <v>189</v>
      </c>
      <c r="C477" s="30">
        <v>42744</v>
      </c>
      <c r="D477" s="30">
        <v>42772</v>
      </c>
      <c r="E477" s="30">
        <v>42749</v>
      </c>
      <c r="F477" s="29" t="s">
        <v>645</v>
      </c>
      <c r="G477" s="29">
        <v>149.14999999999998</v>
      </c>
      <c r="H477" s="29" t="s">
        <v>363</v>
      </c>
      <c r="I477" s="31" t="str">
        <f t="shared" si="7"/>
        <v>Jan</v>
      </c>
    </row>
    <row r="478" spans="1:9" x14ac:dyDescent="0.25">
      <c r="A478" s="24">
        <v>10531</v>
      </c>
      <c r="B478" s="25" t="s">
        <v>189</v>
      </c>
      <c r="C478" s="26">
        <v>42863</v>
      </c>
      <c r="D478" s="26">
        <v>42891</v>
      </c>
      <c r="E478" s="26">
        <v>42874</v>
      </c>
      <c r="F478" s="25" t="s">
        <v>645</v>
      </c>
      <c r="G478" s="25">
        <v>40.599999999999994</v>
      </c>
      <c r="H478" s="25" t="s">
        <v>363</v>
      </c>
      <c r="I478" s="27" t="str">
        <f t="shared" si="7"/>
        <v>May</v>
      </c>
    </row>
    <row r="479" spans="1:9" x14ac:dyDescent="0.25">
      <c r="A479" s="28">
        <v>10898</v>
      </c>
      <c r="B479" s="29" t="s">
        <v>189</v>
      </c>
      <c r="C479" s="30">
        <v>43151</v>
      </c>
      <c r="D479" s="30">
        <v>43179</v>
      </c>
      <c r="E479" s="30">
        <v>43165</v>
      </c>
      <c r="F479" s="29" t="s">
        <v>646</v>
      </c>
      <c r="G479" s="29">
        <v>6.35</v>
      </c>
      <c r="H479" s="29" t="s">
        <v>363</v>
      </c>
      <c r="I479" s="31" t="str">
        <f t="shared" si="7"/>
        <v>Feb</v>
      </c>
    </row>
    <row r="480" spans="1:9" x14ac:dyDescent="0.25">
      <c r="A480" s="24">
        <v>10958</v>
      </c>
      <c r="B480" s="25" t="s">
        <v>189</v>
      </c>
      <c r="C480" s="26">
        <v>43177</v>
      </c>
      <c r="D480" s="26">
        <v>43205</v>
      </c>
      <c r="E480" s="26">
        <v>43186</v>
      </c>
      <c r="F480" s="25" t="s">
        <v>646</v>
      </c>
      <c r="G480" s="25">
        <v>247.8</v>
      </c>
      <c r="H480" s="25" t="s">
        <v>363</v>
      </c>
      <c r="I480" s="27" t="str">
        <f t="shared" si="7"/>
        <v>Mar</v>
      </c>
    </row>
    <row r="481" spans="1:9" x14ac:dyDescent="0.25">
      <c r="A481" s="28">
        <v>10986</v>
      </c>
      <c r="B481" s="29" t="s">
        <v>189</v>
      </c>
      <c r="C481" s="30">
        <v>43189</v>
      </c>
      <c r="D481" s="30">
        <v>43217</v>
      </c>
      <c r="E481" s="30">
        <v>43211</v>
      </c>
      <c r="F481" s="29" t="s">
        <v>646</v>
      </c>
      <c r="G481" s="29">
        <v>1089.3000000000002</v>
      </c>
      <c r="H481" s="29" t="s">
        <v>363</v>
      </c>
      <c r="I481" s="31" t="str">
        <f t="shared" si="7"/>
        <v>Mar</v>
      </c>
    </row>
    <row r="482" spans="1:9" x14ac:dyDescent="0.25">
      <c r="A482" s="24">
        <v>10260</v>
      </c>
      <c r="B482" s="25" t="s">
        <v>192</v>
      </c>
      <c r="C482" s="26">
        <v>42570</v>
      </c>
      <c r="D482" s="26">
        <v>42598</v>
      </c>
      <c r="E482" s="26">
        <v>42580</v>
      </c>
      <c r="F482" s="25" t="s">
        <v>645</v>
      </c>
      <c r="G482" s="25">
        <v>275.45000000000005</v>
      </c>
      <c r="H482" s="25" t="s">
        <v>364</v>
      </c>
      <c r="I482" s="27" t="str">
        <f t="shared" si="7"/>
        <v>Jul</v>
      </c>
    </row>
    <row r="483" spans="1:9" x14ac:dyDescent="0.25">
      <c r="A483" s="28">
        <v>10305</v>
      </c>
      <c r="B483" s="29" t="s">
        <v>192</v>
      </c>
      <c r="C483" s="30">
        <v>42626</v>
      </c>
      <c r="D483" s="30">
        <v>42654</v>
      </c>
      <c r="E483" s="30">
        <v>42652</v>
      </c>
      <c r="F483" s="29" t="s">
        <v>647</v>
      </c>
      <c r="G483" s="29">
        <v>1288.0999999999999</v>
      </c>
      <c r="H483" s="29" t="s">
        <v>364</v>
      </c>
      <c r="I483" s="31" t="str">
        <f t="shared" si="7"/>
        <v>Sep</v>
      </c>
    </row>
    <row r="484" spans="1:9" x14ac:dyDescent="0.25">
      <c r="A484" s="24">
        <v>10338</v>
      </c>
      <c r="B484" s="25" t="s">
        <v>192</v>
      </c>
      <c r="C484" s="26">
        <v>42668</v>
      </c>
      <c r="D484" s="26">
        <v>42696</v>
      </c>
      <c r="E484" s="26">
        <v>42672</v>
      </c>
      <c r="F484" s="25" t="s">
        <v>647</v>
      </c>
      <c r="G484" s="25">
        <v>421.04999999999995</v>
      </c>
      <c r="H484" s="25" t="s">
        <v>364</v>
      </c>
      <c r="I484" s="27" t="str">
        <f t="shared" si="7"/>
        <v>Oct</v>
      </c>
    </row>
    <row r="485" spans="1:9" x14ac:dyDescent="0.25">
      <c r="A485" s="28">
        <v>10441</v>
      </c>
      <c r="B485" s="29" t="s">
        <v>192</v>
      </c>
      <c r="C485" s="30">
        <v>42776</v>
      </c>
      <c r="D485" s="30">
        <v>42818</v>
      </c>
      <c r="E485" s="30">
        <v>42808</v>
      </c>
      <c r="F485" s="29" t="s">
        <v>646</v>
      </c>
      <c r="G485" s="29">
        <v>365.09999999999997</v>
      </c>
      <c r="H485" s="29" t="s">
        <v>364</v>
      </c>
      <c r="I485" s="31" t="str">
        <f t="shared" si="7"/>
        <v>Feb</v>
      </c>
    </row>
    <row r="486" spans="1:9" x14ac:dyDescent="0.25">
      <c r="A486" s="24">
        <v>10594</v>
      </c>
      <c r="B486" s="25" t="s">
        <v>192</v>
      </c>
      <c r="C486" s="26">
        <v>42925</v>
      </c>
      <c r="D486" s="26">
        <v>42953</v>
      </c>
      <c r="E486" s="26">
        <v>42932</v>
      </c>
      <c r="F486" s="25" t="s">
        <v>646</v>
      </c>
      <c r="G486" s="25">
        <v>26.200000000000003</v>
      </c>
      <c r="H486" s="25" t="s">
        <v>364</v>
      </c>
      <c r="I486" s="27" t="str">
        <f t="shared" si="7"/>
        <v>Jul</v>
      </c>
    </row>
    <row r="487" spans="1:9" x14ac:dyDescent="0.25">
      <c r="A487" s="28">
        <v>10680</v>
      </c>
      <c r="B487" s="29" t="s">
        <v>192</v>
      </c>
      <c r="C487" s="30">
        <v>43002</v>
      </c>
      <c r="D487" s="30">
        <v>43030</v>
      </c>
      <c r="E487" s="30">
        <v>43004</v>
      </c>
      <c r="F487" s="29" t="s">
        <v>645</v>
      </c>
      <c r="G487" s="29">
        <v>133.05000000000001</v>
      </c>
      <c r="H487" s="29" t="s">
        <v>364</v>
      </c>
      <c r="I487" s="31" t="str">
        <f t="shared" si="7"/>
        <v>Sep</v>
      </c>
    </row>
    <row r="488" spans="1:9" x14ac:dyDescent="0.25">
      <c r="A488" s="24">
        <v>10706</v>
      </c>
      <c r="B488" s="25" t="s">
        <v>192</v>
      </c>
      <c r="C488" s="26">
        <v>43024</v>
      </c>
      <c r="D488" s="26">
        <v>43052</v>
      </c>
      <c r="E488" s="26">
        <v>43029</v>
      </c>
      <c r="F488" s="25" t="s">
        <v>647</v>
      </c>
      <c r="G488" s="25">
        <v>678.15</v>
      </c>
      <c r="H488" s="25" t="s">
        <v>364</v>
      </c>
      <c r="I488" s="27" t="str">
        <f t="shared" si="7"/>
        <v>Oct</v>
      </c>
    </row>
    <row r="489" spans="1:9" x14ac:dyDescent="0.25">
      <c r="A489" s="28">
        <v>10855</v>
      </c>
      <c r="B489" s="29" t="s">
        <v>192</v>
      </c>
      <c r="C489" s="30">
        <v>43127</v>
      </c>
      <c r="D489" s="30">
        <v>43155</v>
      </c>
      <c r="E489" s="30">
        <v>43135</v>
      </c>
      <c r="F489" s="29" t="s">
        <v>645</v>
      </c>
      <c r="G489" s="29">
        <v>854.85</v>
      </c>
      <c r="H489" s="29" t="s">
        <v>364</v>
      </c>
      <c r="I489" s="31" t="str">
        <f t="shared" si="7"/>
        <v>Jan</v>
      </c>
    </row>
    <row r="490" spans="1:9" x14ac:dyDescent="0.25">
      <c r="A490" s="24">
        <v>10965</v>
      </c>
      <c r="B490" s="25" t="s">
        <v>192</v>
      </c>
      <c r="C490" s="26">
        <v>43179</v>
      </c>
      <c r="D490" s="26">
        <v>43207</v>
      </c>
      <c r="E490" s="26">
        <v>43189</v>
      </c>
      <c r="F490" s="25" t="s">
        <v>647</v>
      </c>
      <c r="G490" s="25">
        <v>721.9</v>
      </c>
      <c r="H490" s="25" t="s">
        <v>364</v>
      </c>
      <c r="I490" s="27" t="str">
        <f t="shared" si="7"/>
        <v>Mar</v>
      </c>
    </row>
    <row r="491" spans="1:9" x14ac:dyDescent="0.25">
      <c r="A491" s="28">
        <v>11034</v>
      </c>
      <c r="B491" s="29" t="s">
        <v>192</v>
      </c>
      <c r="C491" s="30">
        <v>43210</v>
      </c>
      <c r="D491" s="30">
        <v>43252</v>
      </c>
      <c r="E491" s="30">
        <v>43217</v>
      </c>
      <c r="F491" s="29" t="s">
        <v>645</v>
      </c>
      <c r="G491" s="29">
        <v>201.6</v>
      </c>
      <c r="H491" s="29" t="s">
        <v>364</v>
      </c>
      <c r="I491" s="31" t="str">
        <f t="shared" si="7"/>
        <v>Apr</v>
      </c>
    </row>
    <row r="492" spans="1:9" x14ac:dyDescent="0.25">
      <c r="A492" s="24">
        <v>10407</v>
      </c>
      <c r="B492" s="25" t="s">
        <v>196</v>
      </c>
      <c r="C492" s="26">
        <v>42742</v>
      </c>
      <c r="D492" s="26">
        <v>42770</v>
      </c>
      <c r="E492" s="26">
        <v>42765</v>
      </c>
      <c r="F492" s="25" t="s">
        <v>646</v>
      </c>
      <c r="G492" s="25">
        <v>457.40000000000003</v>
      </c>
      <c r="H492" s="25" t="s">
        <v>365</v>
      </c>
      <c r="I492" s="27" t="str">
        <f t="shared" si="7"/>
        <v>Jan</v>
      </c>
    </row>
    <row r="493" spans="1:9" x14ac:dyDescent="0.25">
      <c r="A493" s="28">
        <v>10508</v>
      </c>
      <c r="B493" s="29" t="s">
        <v>196</v>
      </c>
      <c r="C493" s="30">
        <v>42841</v>
      </c>
      <c r="D493" s="30">
        <v>42869</v>
      </c>
      <c r="E493" s="30">
        <v>42868</v>
      </c>
      <c r="F493" s="29" t="s">
        <v>646</v>
      </c>
      <c r="G493" s="29">
        <v>24.950000000000003</v>
      </c>
      <c r="H493" s="29" t="s">
        <v>365</v>
      </c>
      <c r="I493" s="31" t="str">
        <f t="shared" si="7"/>
        <v>Apr</v>
      </c>
    </row>
    <row r="494" spans="1:9" x14ac:dyDescent="0.25">
      <c r="A494" s="24">
        <v>10554</v>
      </c>
      <c r="B494" s="25" t="s">
        <v>196</v>
      </c>
      <c r="C494" s="26">
        <v>42885</v>
      </c>
      <c r="D494" s="26">
        <v>42913</v>
      </c>
      <c r="E494" s="26">
        <v>42891</v>
      </c>
      <c r="F494" s="25" t="s">
        <v>647</v>
      </c>
      <c r="G494" s="25">
        <v>604.85</v>
      </c>
      <c r="H494" s="25" t="s">
        <v>365</v>
      </c>
      <c r="I494" s="27" t="str">
        <f t="shared" si="7"/>
        <v>May</v>
      </c>
    </row>
    <row r="495" spans="1:9" x14ac:dyDescent="0.25">
      <c r="A495" s="28">
        <v>10580</v>
      </c>
      <c r="B495" s="29" t="s">
        <v>196</v>
      </c>
      <c r="C495" s="30">
        <v>42912</v>
      </c>
      <c r="D495" s="30">
        <v>42940</v>
      </c>
      <c r="E495" s="30">
        <v>42917</v>
      </c>
      <c r="F495" s="29" t="s">
        <v>647</v>
      </c>
      <c r="G495" s="29">
        <v>379.45</v>
      </c>
      <c r="H495" s="29" t="s">
        <v>365</v>
      </c>
      <c r="I495" s="31" t="str">
        <f t="shared" si="7"/>
        <v>Jun</v>
      </c>
    </row>
    <row r="496" spans="1:9" x14ac:dyDescent="0.25">
      <c r="A496" s="24">
        <v>10684</v>
      </c>
      <c r="B496" s="25" t="s">
        <v>196</v>
      </c>
      <c r="C496" s="26">
        <v>43004</v>
      </c>
      <c r="D496" s="26">
        <v>43032</v>
      </c>
      <c r="E496" s="26">
        <v>43008</v>
      </c>
      <c r="F496" s="25" t="s">
        <v>645</v>
      </c>
      <c r="G496" s="25">
        <v>728.15</v>
      </c>
      <c r="H496" s="25" t="s">
        <v>365</v>
      </c>
      <c r="I496" s="27" t="str">
        <f t="shared" si="7"/>
        <v>Sep</v>
      </c>
    </row>
    <row r="497" spans="1:9" x14ac:dyDescent="0.25">
      <c r="A497" s="28">
        <v>10766</v>
      </c>
      <c r="B497" s="29" t="s">
        <v>196</v>
      </c>
      <c r="C497" s="30">
        <v>43074</v>
      </c>
      <c r="D497" s="30">
        <v>43102</v>
      </c>
      <c r="E497" s="30">
        <v>43078</v>
      </c>
      <c r="F497" s="29" t="s">
        <v>645</v>
      </c>
      <c r="G497" s="29">
        <v>787.75</v>
      </c>
      <c r="H497" s="29" t="s">
        <v>365</v>
      </c>
      <c r="I497" s="31" t="str">
        <f t="shared" si="7"/>
        <v>Dec</v>
      </c>
    </row>
    <row r="498" spans="1:9" x14ac:dyDescent="0.25">
      <c r="A498" s="24">
        <v>10833</v>
      </c>
      <c r="B498" s="25" t="s">
        <v>196</v>
      </c>
      <c r="C498" s="26">
        <v>43115</v>
      </c>
      <c r="D498" s="26">
        <v>43143</v>
      </c>
      <c r="E498" s="26">
        <v>43123</v>
      </c>
      <c r="F498" s="25" t="s">
        <v>646</v>
      </c>
      <c r="G498" s="25">
        <v>357.45</v>
      </c>
      <c r="H498" s="25" t="s">
        <v>365</v>
      </c>
      <c r="I498" s="27" t="str">
        <f t="shared" si="7"/>
        <v>Jan</v>
      </c>
    </row>
    <row r="499" spans="1:9" x14ac:dyDescent="0.25">
      <c r="A499" s="28">
        <v>10999</v>
      </c>
      <c r="B499" s="29" t="s">
        <v>196</v>
      </c>
      <c r="C499" s="30">
        <v>43193</v>
      </c>
      <c r="D499" s="30">
        <v>43221</v>
      </c>
      <c r="E499" s="30">
        <v>43200</v>
      </c>
      <c r="F499" s="29" t="s">
        <v>646</v>
      </c>
      <c r="G499" s="29">
        <v>481.75</v>
      </c>
      <c r="H499" s="29" t="s">
        <v>365</v>
      </c>
      <c r="I499" s="31" t="str">
        <f t="shared" si="7"/>
        <v>Apr</v>
      </c>
    </row>
    <row r="500" spans="1:9" x14ac:dyDescent="0.25">
      <c r="A500" s="24">
        <v>11020</v>
      </c>
      <c r="B500" s="25" t="s">
        <v>196</v>
      </c>
      <c r="C500" s="26">
        <v>43204</v>
      </c>
      <c r="D500" s="26">
        <v>43232</v>
      </c>
      <c r="E500" s="26">
        <v>43206</v>
      </c>
      <c r="F500" s="25" t="s">
        <v>646</v>
      </c>
      <c r="G500" s="25">
        <v>216.5</v>
      </c>
      <c r="H500" s="25" t="s">
        <v>365</v>
      </c>
      <c r="I500" s="27" t="str">
        <f t="shared" si="7"/>
        <v>Apr</v>
      </c>
    </row>
    <row r="501" spans="1:9" x14ac:dyDescent="0.25">
      <c r="A501" s="28">
        <v>10322</v>
      </c>
      <c r="B501" s="29" t="s">
        <v>202</v>
      </c>
      <c r="C501" s="30">
        <v>42647</v>
      </c>
      <c r="D501" s="30">
        <v>42675</v>
      </c>
      <c r="E501" s="30">
        <v>42666</v>
      </c>
      <c r="F501" s="29" t="s">
        <v>647</v>
      </c>
      <c r="G501" s="29">
        <v>2</v>
      </c>
      <c r="H501" s="29" t="s">
        <v>11</v>
      </c>
      <c r="I501" s="31" t="str">
        <f t="shared" si="7"/>
        <v>Oct</v>
      </c>
    </row>
    <row r="502" spans="1:9" x14ac:dyDescent="0.25">
      <c r="A502" s="24">
        <v>10354</v>
      </c>
      <c r="B502" s="25" t="s">
        <v>202</v>
      </c>
      <c r="C502" s="26">
        <v>42688</v>
      </c>
      <c r="D502" s="26">
        <v>42716</v>
      </c>
      <c r="E502" s="26">
        <v>42694</v>
      </c>
      <c r="F502" s="25" t="s">
        <v>647</v>
      </c>
      <c r="G502" s="25">
        <v>269</v>
      </c>
      <c r="H502" s="25" t="s">
        <v>11</v>
      </c>
      <c r="I502" s="27" t="str">
        <f t="shared" si="7"/>
        <v>Nov</v>
      </c>
    </row>
    <row r="503" spans="1:9" x14ac:dyDescent="0.25">
      <c r="A503" s="28">
        <v>10474</v>
      </c>
      <c r="B503" s="29" t="s">
        <v>202</v>
      </c>
      <c r="C503" s="30">
        <v>42807</v>
      </c>
      <c r="D503" s="30">
        <v>42835</v>
      </c>
      <c r="E503" s="30">
        <v>42815</v>
      </c>
      <c r="F503" s="29" t="s">
        <v>646</v>
      </c>
      <c r="G503" s="29">
        <v>417.45</v>
      </c>
      <c r="H503" s="29" t="s">
        <v>11</v>
      </c>
      <c r="I503" s="31" t="str">
        <f t="shared" si="7"/>
        <v>Mar</v>
      </c>
    </row>
    <row r="504" spans="1:9" x14ac:dyDescent="0.25">
      <c r="A504" s="24">
        <v>10502</v>
      </c>
      <c r="B504" s="25" t="s">
        <v>202</v>
      </c>
      <c r="C504" s="26">
        <v>42835</v>
      </c>
      <c r="D504" s="26">
        <v>42863</v>
      </c>
      <c r="E504" s="26">
        <v>42854</v>
      </c>
      <c r="F504" s="25" t="s">
        <v>645</v>
      </c>
      <c r="G504" s="25">
        <v>346.59999999999997</v>
      </c>
      <c r="H504" s="25" t="s">
        <v>11</v>
      </c>
      <c r="I504" s="27" t="str">
        <f t="shared" si="7"/>
        <v>Apr</v>
      </c>
    </row>
    <row r="505" spans="1:9" x14ac:dyDescent="0.25">
      <c r="A505" s="28">
        <v>10995</v>
      </c>
      <c r="B505" s="29" t="s">
        <v>202</v>
      </c>
      <c r="C505" s="30">
        <v>43192</v>
      </c>
      <c r="D505" s="30">
        <v>43220</v>
      </c>
      <c r="E505" s="30">
        <v>43196</v>
      </c>
      <c r="F505" s="29" t="s">
        <v>647</v>
      </c>
      <c r="G505" s="29">
        <v>230</v>
      </c>
      <c r="H505" s="29" t="s">
        <v>11</v>
      </c>
      <c r="I505" s="31" t="str">
        <f t="shared" si="7"/>
        <v>Apr</v>
      </c>
    </row>
    <row r="506" spans="1:9" x14ac:dyDescent="0.25">
      <c r="A506" s="24">
        <v>11073</v>
      </c>
      <c r="B506" s="25" t="s">
        <v>202</v>
      </c>
      <c r="C506" s="26">
        <v>43225</v>
      </c>
      <c r="D506" s="26">
        <v>43253</v>
      </c>
      <c r="E506" s="26"/>
      <c r="F506" s="25" t="s">
        <v>646</v>
      </c>
      <c r="G506" s="25">
        <v>124.75</v>
      </c>
      <c r="H506" s="25" t="s">
        <v>11</v>
      </c>
      <c r="I506" s="27" t="str">
        <f t="shared" si="7"/>
        <v>May</v>
      </c>
    </row>
    <row r="507" spans="1:9" x14ac:dyDescent="0.25">
      <c r="A507" s="28">
        <v>10353</v>
      </c>
      <c r="B507" s="29" t="s">
        <v>205</v>
      </c>
      <c r="C507" s="30">
        <v>42687</v>
      </c>
      <c r="D507" s="30">
        <v>42715</v>
      </c>
      <c r="E507" s="30">
        <v>42699</v>
      </c>
      <c r="F507" s="29" t="s">
        <v>647</v>
      </c>
      <c r="G507" s="29">
        <v>1803.15</v>
      </c>
      <c r="H507" s="29" t="s">
        <v>367</v>
      </c>
      <c r="I507" s="31" t="str">
        <f t="shared" si="7"/>
        <v>Nov</v>
      </c>
    </row>
    <row r="508" spans="1:9" x14ac:dyDescent="0.25">
      <c r="A508" s="24">
        <v>10392</v>
      </c>
      <c r="B508" s="25" t="s">
        <v>205</v>
      </c>
      <c r="C508" s="26">
        <v>42728</v>
      </c>
      <c r="D508" s="26">
        <v>42756</v>
      </c>
      <c r="E508" s="26">
        <v>42736</v>
      </c>
      <c r="F508" s="25" t="s">
        <v>647</v>
      </c>
      <c r="G508" s="25">
        <v>612.29999999999995</v>
      </c>
      <c r="H508" s="25" t="s">
        <v>367</v>
      </c>
      <c r="I508" s="27" t="str">
        <f t="shared" si="7"/>
        <v>Dec</v>
      </c>
    </row>
    <row r="509" spans="1:9" x14ac:dyDescent="0.25">
      <c r="A509" s="28">
        <v>10427</v>
      </c>
      <c r="B509" s="29" t="s">
        <v>205</v>
      </c>
      <c r="C509" s="30">
        <v>42762</v>
      </c>
      <c r="D509" s="30">
        <v>42790</v>
      </c>
      <c r="E509" s="30">
        <v>42797</v>
      </c>
      <c r="F509" s="29" t="s">
        <v>646</v>
      </c>
      <c r="G509" s="29">
        <v>156.44999999999999</v>
      </c>
      <c r="H509" s="29" t="s">
        <v>367</v>
      </c>
      <c r="I509" s="31" t="str">
        <f t="shared" si="7"/>
        <v>Jan</v>
      </c>
    </row>
    <row r="510" spans="1:9" x14ac:dyDescent="0.25">
      <c r="A510" s="24">
        <v>10489</v>
      </c>
      <c r="B510" s="25" t="s">
        <v>205</v>
      </c>
      <c r="C510" s="26">
        <v>42822</v>
      </c>
      <c r="D510" s="26">
        <v>42850</v>
      </c>
      <c r="E510" s="26">
        <v>42834</v>
      </c>
      <c r="F510" s="25" t="s">
        <v>646</v>
      </c>
      <c r="G510" s="25">
        <v>26.45</v>
      </c>
      <c r="H510" s="25" t="s">
        <v>367</v>
      </c>
      <c r="I510" s="27" t="str">
        <f t="shared" si="7"/>
        <v>Mar</v>
      </c>
    </row>
    <row r="511" spans="1:9" x14ac:dyDescent="0.25">
      <c r="A511" s="28">
        <v>10530</v>
      </c>
      <c r="B511" s="29" t="s">
        <v>205</v>
      </c>
      <c r="C511" s="30">
        <v>42863</v>
      </c>
      <c r="D511" s="30">
        <v>42891</v>
      </c>
      <c r="E511" s="30">
        <v>42867</v>
      </c>
      <c r="F511" s="29" t="s">
        <v>646</v>
      </c>
      <c r="G511" s="29">
        <v>1696.1000000000001</v>
      </c>
      <c r="H511" s="29" t="s">
        <v>367</v>
      </c>
      <c r="I511" s="31" t="str">
        <f t="shared" si="7"/>
        <v>May</v>
      </c>
    </row>
    <row r="512" spans="1:9" x14ac:dyDescent="0.25">
      <c r="A512" s="24">
        <v>10597</v>
      </c>
      <c r="B512" s="25" t="s">
        <v>205</v>
      </c>
      <c r="C512" s="26">
        <v>42927</v>
      </c>
      <c r="D512" s="26">
        <v>42955</v>
      </c>
      <c r="E512" s="26">
        <v>42934</v>
      </c>
      <c r="F512" s="25" t="s">
        <v>647</v>
      </c>
      <c r="G512" s="25">
        <v>175.6</v>
      </c>
      <c r="H512" s="25" t="s">
        <v>367</v>
      </c>
      <c r="I512" s="27" t="str">
        <f t="shared" si="7"/>
        <v>Jul</v>
      </c>
    </row>
    <row r="513" spans="1:9" x14ac:dyDescent="0.25">
      <c r="A513" s="28">
        <v>10686</v>
      </c>
      <c r="B513" s="29" t="s">
        <v>205</v>
      </c>
      <c r="C513" s="30">
        <v>43008</v>
      </c>
      <c r="D513" s="30">
        <v>43036</v>
      </c>
      <c r="E513" s="30">
        <v>43016</v>
      </c>
      <c r="F513" s="29" t="s">
        <v>645</v>
      </c>
      <c r="G513" s="29">
        <v>482.5</v>
      </c>
      <c r="H513" s="29" t="s">
        <v>367</v>
      </c>
      <c r="I513" s="31" t="str">
        <f t="shared" si="7"/>
        <v>Sep</v>
      </c>
    </row>
    <row r="514" spans="1:9" x14ac:dyDescent="0.25">
      <c r="A514" s="24">
        <v>10747</v>
      </c>
      <c r="B514" s="25" t="s">
        <v>205</v>
      </c>
      <c r="C514" s="26">
        <v>43058</v>
      </c>
      <c r="D514" s="26">
        <v>43086</v>
      </c>
      <c r="E514" s="26">
        <v>43065</v>
      </c>
      <c r="F514" s="25" t="s">
        <v>645</v>
      </c>
      <c r="G514" s="25">
        <v>586.65</v>
      </c>
      <c r="H514" s="25" t="s">
        <v>367</v>
      </c>
      <c r="I514" s="27" t="str">
        <f t="shared" si="7"/>
        <v>Nov</v>
      </c>
    </row>
    <row r="515" spans="1:9" x14ac:dyDescent="0.25">
      <c r="A515" s="28">
        <v>10844</v>
      </c>
      <c r="B515" s="29" t="s">
        <v>205</v>
      </c>
      <c r="C515" s="30">
        <v>43121</v>
      </c>
      <c r="D515" s="30">
        <v>43149</v>
      </c>
      <c r="E515" s="30">
        <v>43126</v>
      </c>
      <c r="F515" s="29" t="s">
        <v>646</v>
      </c>
      <c r="G515" s="29">
        <v>126.1</v>
      </c>
      <c r="H515" s="29" t="s">
        <v>367</v>
      </c>
      <c r="I515" s="31" t="str">
        <f t="shared" ref="I515:I578" si="8">TEXT(C515,"mmm")</f>
        <v>Jan</v>
      </c>
    </row>
    <row r="516" spans="1:9" x14ac:dyDescent="0.25">
      <c r="A516" s="24">
        <v>11053</v>
      </c>
      <c r="B516" s="25" t="s">
        <v>205</v>
      </c>
      <c r="C516" s="26">
        <v>43217</v>
      </c>
      <c r="D516" s="26">
        <v>43245</v>
      </c>
      <c r="E516" s="26">
        <v>43219</v>
      </c>
      <c r="F516" s="25" t="s">
        <v>646</v>
      </c>
      <c r="G516" s="25">
        <v>265.25</v>
      </c>
      <c r="H516" s="25" t="s">
        <v>367</v>
      </c>
      <c r="I516" s="27" t="str">
        <f t="shared" si="8"/>
        <v>Apr</v>
      </c>
    </row>
    <row r="517" spans="1:9" x14ac:dyDescent="0.25">
      <c r="A517" s="28">
        <v>10336</v>
      </c>
      <c r="B517" s="29" t="s">
        <v>208</v>
      </c>
      <c r="C517" s="30">
        <v>42666</v>
      </c>
      <c r="D517" s="30">
        <v>42694</v>
      </c>
      <c r="E517" s="30">
        <v>42668</v>
      </c>
      <c r="F517" s="29" t="s">
        <v>646</v>
      </c>
      <c r="G517" s="29">
        <v>77.55</v>
      </c>
      <c r="H517" s="29" t="s">
        <v>368</v>
      </c>
      <c r="I517" s="31" t="str">
        <f t="shared" si="8"/>
        <v>Oct</v>
      </c>
    </row>
    <row r="518" spans="1:9" x14ac:dyDescent="0.25">
      <c r="A518" s="24">
        <v>10397</v>
      </c>
      <c r="B518" s="25" t="s">
        <v>208</v>
      </c>
      <c r="C518" s="26">
        <v>42731</v>
      </c>
      <c r="D518" s="26">
        <v>42759</v>
      </c>
      <c r="E518" s="26">
        <v>42737</v>
      </c>
      <c r="F518" s="25" t="s">
        <v>645</v>
      </c>
      <c r="G518" s="25">
        <v>301.3</v>
      </c>
      <c r="H518" s="25" t="s">
        <v>368</v>
      </c>
      <c r="I518" s="27" t="str">
        <f t="shared" si="8"/>
        <v>Dec</v>
      </c>
    </row>
    <row r="519" spans="1:9" x14ac:dyDescent="0.25">
      <c r="A519" s="28">
        <v>10433</v>
      </c>
      <c r="B519" s="29" t="s">
        <v>208</v>
      </c>
      <c r="C519" s="30">
        <v>42769</v>
      </c>
      <c r="D519" s="30">
        <v>42797</v>
      </c>
      <c r="E519" s="30">
        <v>42798</v>
      </c>
      <c r="F519" s="29" t="s">
        <v>647</v>
      </c>
      <c r="G519" s="29">
        <v>369.15</v>
      </c>
      <c r="H519" s="29" t="s">
        <v>368</v>
      </c>
      <c r="I519" s="31" t="str">
        <f t="shared" si="8"/>
        <v>Feb</v>
      </c>
    </row>
    <row r="520" spans="1:9" x14ac:dyDescent="0.25">
      <c r="A520" s="24">
        <v>10477</v>
      </c>
      <c r="B520" s="25" t="s">
        <v>208</v>
      </c>
      <c r="C520" s="26">
        <v>42811</v>
      </c>
      <c r="D520" s="26">
        <v>42839</v>
      </c>
      <c r="E520" s="26">
        <v>42819</v>
      </c>
      <c r="F520" s="25" t="s">
        <v>646</v>
      </c>
      <c r="G520" s="25">
        <v>65.099999999999994</v>
      </c>
      <c r="H520" s="25" t="s">
        <v>368</v>
      </c>
      <c r="I520" s="27" t="str">
        <f t="shared" si="8"/>
        <v>Mar</v>
      </c>
    </row>
    <row r="521" spans="1:9" x14ac:dyDescent="0.25">
      <c r="A521" s="28">
        <v>10808</v>
      </c>
      <c r="B521" s="29" t="s">
        <v>208</v>
      </c>
      <c r="C521" s="30">
        <v>43101</v>
      </c>
      <c r="D521" s="30">
        <v>43129</v>
      </c>
      <c r="E521" s="30">
        <v>43109</v>
      </c>
      <c r="F521" s="29" t="s">
        <v>647</v>
      </c>
      <c r="G521" s="29">
        <v>227.65</v>
      </c>
      <c r="H521" s="29" t="s">
        <v>368</v>
      </c>
      <c r="I521" s="31" t="str">
        <f t="shared" si="8"/>
        <v>Jan</v>
      </c>
    </row>
    <row r="522" spans="1:9" x14ac:dyDescent="0.25">
      <c r="A522" s="24">
        <v>11007</v>
      </c>
      <c r="B522" s="25" t="s">
        <v>208</v>
      </c>
      <c r="C522" s="26">
        <v>43198</v>
      </c>
      <c r="D522" s="26">
        <v>43226</v>
      </c>
      <c r="E522" s="26">
        <v>43203</v>
      </c>
      <c r="F522" s="25" t="s">
        <v>646</v>
      </c>
      <c r="G522" s="25">
        <v>1011.2</v>
      </c>
      <c r="H522" s="25" t="s">
        <v>368</v>
      </c>
      <c r="I522" s="27" t="str">
        <f t="shared" si="8"/>
        <v>Apr</v>
      </c>
    </row>
    <row r="523" spans="1:9" x14ac:dyDescent="0.25">
      <c r="A523" s="28">
        <v>10261</v>
      </c>
      <c r="B523" s="29" t="s">
        <v>210</v>
      </c>
      <c r="C523" s="30">
        <v>42570</v>
      </c>
      <c r="D523" s="30">
        <v>42598</v>
      </c>
      <c r="E523" s="30">
        <v>42581</v>
      </c>
      <c r="F523" s="29" t="s">
        <v>646</v>
      </c>
      <c r="G523" s="29">
        <v>15.25</v>
      </c>
      <c r="H523" s="29" t="s">
        <v>369</v>
      </c>
      <c r="I523" s="31" t="str">
        <f t="shared" si="8"/>
        <v>Jul</v>
      </c>
    </row>
    <row r="524" spans="1:9" x14ac:dyDescent="0.25">
      <c r="A524" s="24">
        <v>10291</v>
      </c>
      <c r="B524" s="25" t="s">
        <v>210</v>
      </c>
      <c r="C524" s="26">
        <v>42609</v>
      </c>
      <c r="D524" s="26">
        <v>42637</v>
      </c>
      <c r="E524" s="26">
        <v>42617</v>
      </c>
      <c r="F524" s="25" t="s">
        <v>646</v>
      </c>
      <c r="G524" s="25">
        <v>32</v>
      </c>
      <c r="H524" s="25" t="s">
        <v>369</v>
      </c>
      <c r="I524" s="27" t="str">
        <f t="shared" si="8"/>
        <v>Aug</v>
      </c>
    </row>
    <row r="525" spans="1:9" x14ac:dyDescent="0.25">
      <c r="A525" s="28">
        <v>10379</v>
      </c>
      <c r="B525" s="29" t="s">
        <v>210</v>
      </c>
      <c r="C525" s="30">
        <v>42715</v>
      </c>
      <c r="D525" s="30">
        <v>42743</v>
      </c>
      <c r="E525" s="30">
        <v>42717</v>
      </c>
      <c r="F525" s="29" t="s">
        <v>645</v>
      </c>
      <c r="G525" s="29">
        <v>225.15</v>
      </c>
      <c r="H525" s="29" t="s">
        <v>369</v>
      </c>
      <c r="I525" s="31" t="str">
        <f t="shared" si="8"/>
        <v>Dec</v>
      </c>
    </row>
    <row r="526" spans="1:9" x14ac:dyDescent="0.25">
      <c r="A526" s="24">
        <v>10421</v>
      </c>
      <c r="B526" s="25" t="s">
        <v>210</v>
      </c>
      <c r="C526" s="26">
        <v>42756</v>
      </c>
      <c r="D526" s="26">
        <v>42798</v>
      </c>
      <c r="E526" s="26">
        <v>42762</v>
      </c>
      <c r="F526" s="25" t="s">
        <v>645</v>
      </c>
      <c r="G526" s="25">
        <v>496.15000000000003</v>
      </c>
      <c r="H526" s="25" t="s">
        <v>369</v>
      </c>
      <c r="I526" s="27" t="str">
        <f t="shared" si="8"/>
        <v>Jan</v>
      </c>
    </row>
    <row r="527" spans="1:9" x14ac:dyDescent="0.25">
      <c r="A527" s="28">
        <v>10587</v>
      </c>
      <c r="B527" s="29" t="s">
        <v>210</v>
      </c>
      <c r="C527" s="30">
        <v>42918</v>
      </c>
      <c r="D527" s="30">
        <v>42946</v>
      </c>
      <c r="E527" s="30">
        <v>42925</v>
      </c>
      <c r="F527" s="29" t="s">
        <v>645</v>
      </c>
      <c r="G527" s="29">
        <v>312.60000000000002</v>
      </c>
      <c r="H527" s="29" t="s">
        <v>369</v>
      </c>
      <c r="I527" s="31" t="str">
        <f t="shared" si="8"/>
        <v>Jul</v>
      </c>
    </row>
    <row r="528" spans="1:9" x14ac:dyDescent="0.25">
      <c r="A528" s="24">
        <v>10647</v>
      </c>
      <c r="B528" s="25" t="s">
        <v>210</v>
      </c>
      <c r="C528" s="26">
        <v>42974</v>
      </c>
      <c r="D528" s="26">
        <v>42988</v>
      </c>
      <c r="E528" s="26">
        <v>42981</v>
      </c>
      <c r="F528" s="25" t="s">
        <v>646</v>
      </c>
      <c r="G528" s="25">
        <v>227.7</v>
      </c>
      <c r="H528" s="25" t="s">
        <v>369</v>
      </c>
      <c r="I528" s="27" t="str">
        <f t="shared" si="8"/>
        <v>Aug</v>
      </c>
    </row>
    <row r="529" spans="1:9" x14ac:dyDescent="0.25">
      <c r="A529" s="28">
        <v>10720</v>
      </c>
      <c r="B529" s="29" t="s">
        <v>210</v>
      </c>
      <c r="C529" s="30">
        <v>43036</v>
      </c>
      <c r="D529" s="30">
        <v>43050</v>
      </c>
      <c r="E529" s="30">
        <v>43044</v>
      </c>
      <c r="F529" s="29" t="s">
        <v>646</v>
      </c>
      <c r="G529" s="29">
        <v>47.65</v>
      </c>
      <c r="H529" s="29" t="s">
        <v>369</v>
      </c>
      <c r="I529" s="31" t="str">
        <f t="shared" si="8"/>
        <v>Oct</v>
      </c>
    </row>
    <row r="530" spans="1:9" x14ac:dyDescent="0.25">
      <c r="A530" s="24">
        <v>10794</v>
      </c>
      <c r="B530" s="25" t="s">
        <v>210</v>
      </c>
      <c r="C530" s="26">
        <v>43093</v>
      </c>
      <c r="D530" s="26">
        <v>43121</v>
      </c>
      <c r="E530" s="26">
        <v>43102</v>
      </c>
      <c r="F530" s="25" t="s">
        <v>645</v>
      </c>
      <c r="G530" s="25">
        <v>107.44999999999999</v>
      </c>
      <c r="H530" s="25" t="s">
        <v>369</v>
      </c>
      <c r="I530" s="27" t="str">
        <f t="shared" si="8"/>
        <v>Dec</v>
      </c>
    </row>
    <row r="531" spans="1:9" x14ac:dyDescent="0.25">
      <c r="A531" s="28">
        <v>10989</v>
      </c>
      <c r="B531" s="29" t="s">
        <v>210</v>
      </c>
      <c r="C531" s="30">
        <v>43190</v>
      </c>
      <c r="D531" s="30">
        <v>43218</v>
      </c>
      <c r="E531" s="30">
        <v>43192</v>
      </c>
      <c r="F531" s="29" t="s">
        <v>645</v>
      </c>
      <c r="G531" s="29">
        <v>173.79999999999998</v>
      </c>
      <c r="H531" s="29" t="s">
        <v>369</v>
      </c>
      <c r="I531" s="31" t="str">
        <f t="shared" si="8"/>
        <v>Mar</v>
      </c>
    </row>
    <row r="532" spans="1:9" x14ac:dyDescent="0.25">
      <c r="A532" s="24">
        <v>10372</v>
      </c>
      <c r="B532" s="25" t="s">
        <v>213</v>
      </c>
      <c r="C532" s="26">
        <v>42708</v>
      </c>
      <c r="D532" s="26">
        <v>42736</v>
      </c>
      <c r="E532" s="26">
        <v>42713</v>
      </c>
      <c r="F532" s="25" t="s">
        <v>646</v>
      </c>
      <c r="G532" s="25">
        <v>4453.8999999999996</v>
      </c>
      <c r="H532" s="25" t="s">
        <v>370</v>
      </c>
      <c r="I532" s="27" t="str">
        <f t="shared" si="8"/>
        <v>Dec</v>
      </c>
    </row>
    <row r="533" spans="1:9" x14ac:dyDescent="0.25">
      <c r="A533" s="28">
        <v>10406</v>
      </c>
      <c r="B533" s="29" t="s">
        <v>213</v>
      </c>
      <c r="C533" s="30">
        <v>42742</v>
      </c>
      <c r="D533" s="30">
        <v>42784</v>
      </c>
      <c r="E533" s="30">
        <v>42748</v>
      </c>
      <c r="F533" s="29" t="s">
        <v>645</v>
      </c>
      <c r="G533" s="29">
        <v>540.20000000000005</v>
      </c>
      <c r="H533" s="29" t="s">
        <v>370</v>
      </c>
      <c r="I533" s="31" t="str">
        <f t="shared" si="8"/>
        <v>Jan</v>
      </c>
    </row>
    <row r="534" spans="1:9" x14ac:dyDescent="0.25">
      <c r="A534" s="24">
        <v>10487</v>
      </c>
      <c r="B534" s="25" t="s">
        <v>213</v>
      </c>
      <c r="C534" s="26">
        <v>42820</v>
      </c>
      <c r="D534" s="26">
        <v>42848</v>
      </c>
      <c r="E534" s="26">
        <v>42822</v>
      </c>
      <c r="F534" s="25" t="s">
        <v>646</v>
      </c>
      <c r="G534" s="25">
        <v>355.34999999999997</v>
      </c>
      <c r="H534" s="25" t="s">
        <v>370</v>
      </c>
      <c r="I534" s="27" t="str">
        <f t="shared" si="8"/>
        <v>Mar</v>
      </c>
    </row>
    <row r="535" spans="1:9" x14ac:dyDescent="0.25">
      <c r="A535" s="28">
        <v>10637</v>
      </c>
      <c r="B535" s="29" t="s">
        <v>213</v>
      </c>
      <c r="C535" s="30">
        <v>42966</v>
      </c>
      <c r="D535" s="30">
        <v>42994</v>
      </c>
      <c r="E535" s="30">
        <v>42973</v>
      </c>
      <c r="F535" s="29" t="s">
        <v>645</v>
      </c>
      <c r="G535" s="29">
        <v>1006.4499999999999</v>
      </c>
      <c r="H535" s="29" t="s">
        <v>370</v>
      </c>
      <c r="I535" s="31" t="str">
        <f t="shared" si="8"/>
        <v>Aug</v>
      </c>
    </row>
    <row r="536" spans="1:9" x14ac:dyDescent="0.25">
      <c r="A536" s="24">
        <v>10659</v>
      </c>
      <c r="B536" s="25" t="s">
        <v>213</v>
      </c>
      <c r="C536" s="26">
        <v>42983</v>
      </c>
      <c r="D536" s="26">
        <v>43011</v>
      </c>
      <c r="E536" s="26">
        <v>42988</v>
      </c>
      <c r="F536" s="25" t="s">
        <v>646</v>
      </c>
      <c r="G536" s="25">
        <v>529.04999999999995</v>
      </c>
      <c r="H536" s="25" t="s">
        <v>370</v>
      </c>
      <c r="I536" s="27" t="str">
        <f t="shared" si="8"/>
        <v>Sep</v>
      </c>
    </row>
    <row r="537" spans="1:9" x14ac:dyDescent="0.25">
      <c r="A537" s="28">
        <v>10704</v>
      </c>
      <c r="B537" s="29" t="s">
        <v>213</v>
      </c>
      <c r="C537" s="30">
        <v>43022</v>
      </c>
      <c r="D537" s="30">
        <v>43050</v>
      </c>
      <c r="E537" s="30">
        <v>43046</v>
      </c>
      <c r="F537" s="29" t="s">
        <v>645</v>
      </c>
      <c r="G537" s="29">
        <v>23.900000000000002</v>
      </c>
      <c r="H537" s="29" t="s">
        <v>370</v>
      </c>
      <c r="I537" s="31" t="str">
        <f t="shared" si="8"/>
        <v>Oct</v>
      </c>
    </row>
    <row r="538" spans="1:9" x14ac:dyDescent="0.25">
      <c r="A538" s="24">
        <v>10728</v>
      </c>
      <c r="B538" s="25" t="s">
        <v>213</v>
      </c>
      <c r="C538" s="26">
        <v>43043</v>
      </c>
      <c r="D538" s="26">
        <v>43071</v>
      </c>
      <c r="E538" s="26">
        <v>43050</v>
      </c>
      <c r="F538" s="25" t="s">
        <v>646</v>
      </c>
      <c r="G538" s="25">
        <v>291.64999999999998</v>
      </c>
      <c r="H538" s="25" t="s">
        <v>370</v>
      </c>
      <c r="I538" s="27" t="str">
        <f t="shared" si="8"/>
        <v>Nov</v>
      </c>
    </row>
    <row r="539" spans="1:9" x14ac:dyDescent="0.25">
      <c r="A539" s="28">
        <v>10786</v>
      </c>
      <c r="B539" s="29" t="s">
        <v>213</v>
      </c>
      <c r="C539" s="30">
        <v>43088</v>
      </c>
      <c r="D539" s="30">
        <v>43116</v>
      </c>
      <c r="E539" s="30">
        <v>43092</v>
      </c>
      <c r="F539" s="29" t="s">
        <v>645</v>
      </c>
      <c r="G539" s="29">
        <v>554.35</v>
      </c>
      <c r="H539" s="29" t="s">
        <v>370</v>
      </c>
      <c r="I539" s="31" t="str">
        <f t="shared" si="8"/>
        <v>Dec</v>
      </c>
    </row>
    <row r="540" spans="1:9" x14ac:dyDescent="0.25">
      <c r="A540" s="24">
        <v>10868</v>
      </c>
      <c r="B540" s="25" t="s">
        <v>213</v>
      </c>
      <c r="C540" s="26">
        <v>43135</v>
      </c>
      <c r="D540" s="26">
        <v>43163</v>
      </c>
      <c r="E540" s="26">
        <v>43154</v>
      </c>
      <c r="F540" s="25" t="s">
        <v>646</v>
      </c>
      <c r="G540" s="25">
        <v>956.35</v>
      </c>
      <c r="H540" s="25" t="s">
        <v>370</v>
      </c>
      <c r="I540" s="27" t="str">
        <f t="shared" si="8"/>
        <v>Feb</v>
      </c>
    </row>
    <row r="541" spans="1:9" x14ac:dyDescent="0.25">
      <c r="A541" s="28">
        <v>10913</v>
      </c>
      <c r="B541" s="29" t="s">
        <v>213</v>
      </c>
      <c r="C541" s="30">
        <v>43157</v>
      </c>
      <c r="D541" s="30">
        <v>43185</v>
      </c>
      <c r="E541" s="30">
        <v>43163</v>
      </c>
      <c r="F541" s="29" t="s">
        <v>645</v>
      </c>
      <c r="G541" s="29">
        <v>165.25</v>
      </c>
      <c r="H541" s="29" t="s">
        <v>370</v>
      </c>
      <c r="I541" s="31" t="str">
        <f t="shared" si="8"/>
        <v>Feb</v>
      </c>
    </row>
    <row r="542" spans="1:9" x14ac:dyDescent="0.25">
      <c r="A542" s="24">
        <v>10914</v>
      </c>
      <c r="B542" s="25" t="s">
        <v>213</v>
      </c>
      <c r="C542" s="26">
        <v>43158</v>
      </c>
      <c r="D542" s="26">
        <v>43186</v>
      </c>
      <c r="E542" s="26">
        <v>43161</v>
      </c>
      <c r="F542" s="25" t="s">
        <v>645</v>
      </c>
      <c r="G542" s="25">
        <v>105.95</v>
      </c>
      <c r="H542" s="25" t="s">
        <v>370</v>
      </c>
      <c r="I542" s="27" t="str">
        <f t="shared" si="8"/>
        <v>Feb</v>
      </c>
    </row>
    <row r="543" spans="1:9" x14ac:dyDescent="0.25">
      <c r="A543" s="28">
        <v>10961</v>
      </c>
      <c r="B543" s="29" t="s">
        <v>213</v>
      </c>
      <c r="C543" s="30">
        <v>43178</v>
      </c>
      <c r="D543" s="30">
        <v>43206</v>
      </c>
      <c r="E543" s="30">
        <v>43189</v>
      </c>
      <c r="F543" s="29" t="s">
        <v>645</v>
      </c>
      <c r="G543" s="29">
        <v>522.35</v>
      </c>
      <c r="H543" s="29" t="s">
        <v>370</v>
      </c>
      <c r="I543" s="31" t="str">
        <f t="shared" si="8"/>
        <v>Mar</v>
      </c>
    </row>
    <row r="544" spans="1:9" x14ac:dyDescent="0.25">
      <c r="A544" s="24">
        <v>11068</v>
      </c>
      <c r="B544" s="25" t="s">
        <v>213</v>
      </c>
      <c r="C544" s="26">
        <v>43224</v>
      </c>
      <c r="D544" s="26">
        <v>43252</v>
      </c>
      <c r="E544" s="26"/>
      <c r="F544" s="25" t="s">
        <v>646</v>
      </c>
      <c r="G544" s="25">
        <v>408.75</v>
      </c>
      <c r="H544" s="25" t="s">
        <v>370</v>
      </c>
      <c r="I544" s="27" t="str">
        <f t="shared" si="8"/>
        <v>May</v>
      </c>
    </row>
    <row r="545" spans="1:9" x14ac:dyDescent="0.25">
      <c r="A545" s="28">
        <v>10273</v>
      </c>
      <c r="B545" s="29" t="s">
        <v>215</v>
      </c>
      <c r="C545" s="30">
        <v>42587</v>
      </c>
      <c r="D545" s="30">
        <v>42615</v>
      </c>
      <c r="E545" s="30">
        <v>42594</v>
      </c>
      <c r="F545" s="29" t="s">
        <v>647</v>
      </c>
      <c r="G545" s="29">
        <v>380.34999999999997</v>
      </c>
      <c r="H545" s="29" t="s">
        <v>10</v>
      </c>
      <c r="I545" s="31" t="str">
        <f t="shared" si="8"/>
        <v>Aug</v>
      </c>
    </row>
    <row r="546" spans="1:9" x14ac:dyDescent="0.25">
      <c r="A546" s="24">
        <v>10285</v>
      </c>
      <c r="B546" s="25" t="s">
        <v>215</v>
      </c>
      <c r="C546" s="26">
        <v>42602</v>
      </c>
      <c r="D546" s="26">
        <v>42630</v>
      </c>
      <c r="E546" s="26">
        <v>42608</v>
      </c>
      <c r="F546" s="25" t="s">
        <v>646</v>
      </c>
      <c r="G546" s="25">
        <v>384.15</v>
      </c>
      <c r="H546" s="25" t="s">
        <v>10</v>
      </c>
      <c r="I546" s="27" t="str">
        <f t="shared" si="8"/>
        <v>Aug</v>
      </c>
    </row>
    <row r="547" spans="1:9" x14ac:dyDescent="0.25">
      <c r="A547" s="28">
        <v>10286</v>
      </c>
      <c r="B547" s="29" t="s">
        <v>215</v>
      </c>
      <c r="C547" s="30">
        <v>42603</v>
      </c>
      <c r="D547" s="30">
        <v>42631</v>
      </c>
      <c r="E547" s="30">
        <v>42612</v>
      </c>
      <c r="F547" s="29" t="s">
        <v>647</v>
      </c>
      <c r="G547" s="29">
        <v>1146.2</v>
      </c>
      <c r="H547" s="29" t="s">
        <v>10</v>
      </c>
      <c r="I547" s="31" t="str">
        <f t="shared" si="8"/>
        <v>Aug</v>
      </c>
    </row>
    <row r="548" spans="1:9" x14ac:dyDescent="0.25">
      <c r="A548" s="24">
        <v>10313</v>
      </c>
      <c r="B548" s="25" t="s">
        <v>215</v>
      </c>
      <c r="C548" s="26">
        <v>42637</v>
      </c>
      <c r="D548" s="26">
        <v>42665</v>
      </c>
      <c r="E548" s="26">
        <v>42647</v>
      </c>
      <c r="F548" s="25" t="s">
        <v>646</v>
      </c>
      <c r="G548" s="25">
        <v>9.8000000000000007</v>
      </c>
      <c r="H548" s="25" t="s">
        <v>10</v>
      </c>
      <c r="I548" s="27" t="str">
        <f t="shared" si="8"/>
        <v>Sep</v>
      </c>
    </row>
    <row r="549" spans="1:9" x14ac:dyDescent="0.25">
      <c r="A549" s="28">
        <v>10345</v>
      </c>
      <c r="B549" s="29" t="s">
        <v>215</v>
      </c>
      <c r="C549" s="30">
        <v>42678</v>
      </c>
      <c r="D549" s="30">
        <v>42706</v>
      </c>
      <c r="E549" s="30">
        <v>42685</v>
      </c>
      <c r="F549" s="29" t="s">
        <v>646</v>
      </c>
      <c r="G549" s="29">
        <v>1245.3</v>
      </c>
      <c r="H549" s="29" t="s">
        <v>10</v>
      </c>
      <c r="I549" s="31" t="str">
        <f t="shared" si="8"/>
        <v>Nov</v>
      </c>
    </row>
    <row r="550" spans="1:9" x14ac:dyDescent="0.25">
      <c r="A550" s="24">
        <v>10361</v>
      </c>
      <c r="B550" s="25" t="s">
        <v>215</v>
      </c>
      <c r="C550" s="26">
        <v>42696</v>
      </c>
      <c r="D550" s="26">
        <v>42724</v>
      </c>
      <c r="E550" s="26">
        <v>42707</v>
      </c>
      <c r="F550" s="25" t="s">
        <v>646</v>
      </c>
      <c r="G550" s="25">
        <v>915.84999999999991</v>
      </c>
      <c r="H550" s="25" t="s">
        <v>10</v>
      </c>
      <c r="I550" s="27" t="str">
        <f t="shared" si="8"/>
        <v>Nov</v>
      </c>
    </row>
    <row r="551" spans="1:9" x14ac:dyDescent="0.25">
      <c r="A551" s="28">
        <v>10418</v>
      </c>
      <c r="B551" s="29" t="s">
        <v>215</v>
      </c>
      <c r="C551" s="30">
        <v>42752</v>
      </c>
      <c r="D551" s="30">
        <v>42780</v>
      </c>
      <c r="E551" s="30">
        <v>42759</v>
      </c>
      <c r="F551" s="29" t="s">
        <v>645</v>
      </c>
      <c r="G551" s="29">
        <v>87.75</v>
      </c>
      <c r="H551" s="29" t="s">
        <v>10</v>
      </c>
      <c r="I551" s="31" t="str">
        <f t="shared" si="8"/>
        <v>Jan</v>
      </c>
    </row>
    <row r="552" spans="1:9" x14ac:dyDescent="0.25">
      <c r="A552" s="24">
        <v>10451</v>
      </c>
      <c r="B552" s="25" t="s">
        <v>215</v>
      </c>
      <c r="C552" s="26">
        <v>42785</v>
      </c>
      <c r="D552" s="26">
        <v>42799</v>
      </c>
      <c r="E552" s="26">
        <v>42806</v>
      </c>
      <c r="F552" s="25" t="s">
        <v>647</v>
      </c>
      <c r="G552" s="25">
        <v>945.45</v>
      </c>
      <c r="H552" s="25" t="s">
        <v>10</v>
      </c>
      <c r="I552" s="27" t="str">
        <f t="shared" si="8"/>
        <v>Feb</v>
      </c>
    </row>
    <row r="553" spans="1:9" x14ac:dyDescent="0.25">
      <c r="A553" s="28">
        <v>10515</v>
      </c>
      <c r="B553" s="29" t="s">
        <v>215</v>
      </c>
      <c r="C553" s="30">
        <v>42848</v>
      </c>
      <c r="D553" s="30">
        <v>42862</v>
      </c>
      <c r="E553" s="30">
        <v>42878</v>
      </c>
      <c r="F553" s="29" t="s">
        <v>645</v>
      </c>
      <c r="G553" s="29">
        <v>1022.35</v>
      </c>
      <c r="H553" s="29" t="s">
        <v>10</v>
      </c>
      <c r="I553" s="31" t="str">
        <f t="shared" si="8"/>
        <v>Apr</v>
      </c>
    </row>
    <row r="554" spans="1:9" x14ac:dyDescent="0.25">
      <c r="A554" s="24">
        <v>10527</v>
      </c>
      <c r="B554" s="25" t="s">
        <v>215</v>
      </c>
      <c r="C554" s="26">
        <v>42860</v>
      </c>
      <c r="D554" s="26">
        <v>42888</v>
      </c>
      <c r="E554" s="26">
        <v>42862</v>
      </c>
      <c r="F554" s="25" t="s">
        <v>645</v>
      </c>
      <c r="G554" s="25">
        <v>209.5</v>
      </c>
      <c r="H554" s="25" t="s">
        <v>10</v>
      </c>
      <c r="I554" s="27" t="str">
        <f t="shared" si="8"/>
        <v>May</v>
      </c>
    </row>
    <row r="555" spans="1:9" x14ac:dyDescent="0.25">
      <c r="A555" s="28">
        <v>10540</v>
      </c>
      <c r="B555" s="29" t="s">
        <v>215</v>
      </c>
      <c r="C555" s="30">
        <v>42874</v>
      </c>
      <c r="D555" s="30">
        <v>42902</v>
      </c>
      <c r="E555" s="30">
        <v>42899</v>
      </c>
      <c r="F555" s="29" t="s">
        <v>647</v>
      </c>
      <c r="G555" s="29">
        <v>5038.2</v>
      </c>
      <c r="H555" s="29" t="s">
        <v>10</v>
      </c>
      <c r="I555" s="31" t="str">
        <f t="shared" si="8"/>
        <v>May</v>
      </c>
    </row>
    <row r="556" spans="1:9" x14ac:dyDescent="0.25">
      <c r="A556" s="24">
        <v>10549</v>
      </c>
      <c r="B556" s="25" t="s">
        <v>215</v>
      </c>
      <c r="C556" s="26">
        <v>42882</v>
      </c>
      <c r="D556" s="26">
        <v>42896</v>
      </c>
      <c r="E556" s="26">
        <v>42885</v>
      </c>
      <c r="F556" s="25" t="s">
        <v>645</v>
      </c>
      <c r="G556" s="25">
        <v>856.2</v>
      </c>
      <c r="H556" s="25" t="s">
        <v>10</v>
      </c>
      <c r="I556" s="27" t="str">
        <f t="shared" si="8"/>
        <v>May</v>
      </c>
    </row>
    <row r="557" spans="1:9" x14ac:dyDescent="0.25">
      <c r="A557" s="28">
        <v>10588</v>
      </c>
      <c r="B557" s="29" t="s">
        <v>215</v>
      </c>
      <c r="C557" s="30">
        <v>42919</v>
      </c>
      <c r="D557" s="30">
        <v>42947</v>
      </c>
      <c r="E557" s="30">
        <v>42926</v>
      </c>
      <c r="F557" s="29" t="s">
        <v>647</v>
      </c>
      <c r="G557" s="29">
        <v>973.34999999999991</v>
      </c>
      <c r="H557" s="29" t="s">
        <v>10</v>
      </c>
      <c r="I557" s="31" t="str">
        <f t="shared" si="8"/>
        <v>Jul</v>
      </c>
    </row>
    <row r="558" spans="1:9" x14ac:dyDescent="0.25">
      <c r="A558" s="24">
        <v>10658</v>
      </c>
      <c r="B558" s="25" t="s">
        <v>215</v>
      </c>
      <c r="C558" s="26">
        <v>42983</v>
      </c>
      <c r="D558" s="26">
        <v>43011</v>
      </c>
      <c r="E558" s="26">
        <v>42986</v>
      </c>
      <c r="F558" s="25" t="s">
        <v>645</v>
      </c>
      <c r="G558" s="25">
        <v>1820.75</v>
      </c>
      <c r="H558" s="25" t="s">
        <v>10</v>
      </c>
      <c r="I558" s="27" t="str">
        <f t="shared" si="8"/>
        <v>Sep</v>
      </c>
    </row>
    <row r="559" spans="1:9" x14ac:dyDescent="0.25">
      <c r="A559" s="28">
        <v>10691</v>
      </c>
      <c r="B559" s="29" t="s">
        <v>215</v>
      </c>
      <c r="C559" s="30">
        <v>43011</v>
      </c>
      <c r="D559" s="30">
        <v>43053</v>
      </c>
      <c r="E559" s="30">
        <v>43030</v>
      </c>
      <c r="F559" s="29" t="s">
        <v>646</v>
      </c>
      <c r="G559" s="29">
        <v>4050.25</v>
      </c>
      <c r="H559" s="29" t="s">
        <v>10</v>
      </c>
      <c r="I559" s="31" t="str">
        <f t="shared" si="8"/>
        <v>Oct</v>
      </c>
    </row>
    <row r="560" spans="1:9" x14ac:dyDescent="0.25">
      <c r="A560" s="24">
        <v>10694</v>
      </c>
      <c r="B560" s="25" t="s">
        <v>215</v>
      </c>
      <c r="C560" s="26">
        <v>43014</v>
      </c>
      <c r="D560" s="26">
        <v>43042</v>
      </c>
      <c r="E560" s="26">
        <v>43017</v>
      </c>
      <c r="F560" s="25" t="s">
        <v>647</v>
      </c>
      <c r="G560" s="25">
        <v>1991.8000000000002</v>
      </c>
      <c r="H560" s="25" t="s">
        <v>10</v>
      </c>
      <c r="I560" s="27" t="str">
        <f t="shared" si="8"/>
        <v>Oct</v>
      </c>
    </row>
    <row r="561" spans="1:9" x14ac:dyDescent="0.25">
      <c r="A561" s="28">
        <v>10721</v>
      </c>
      <c r="B561" s="29" t="s">
        <v>215</v>
      </c>
      <c r="C561" s="30">
        <v>43037</v>
      </c>
      <c r="D561" s="30">
        <v>43065</v>
      </c>
      <c r="E561" s="30">
        <v>43039</v>
      </c>
      <c r="F561" s="29" t="s">
        <v>647</v>
      </c>
      <c r="G561" s="29">
        <v>244.60000000000002</v>
      </c>
      <c r="H561" s="29" t="s">
        <v>10</v>
      </c>
      <c r="I561" s="31" t="str">
        <f t="shared" si="8"/>
        <v>Oct</v>
      </c>
    </row>
    <row r="562" spans="1:9" x14ac:dyDescent="0.25">
      <c r="A562" s="24">
        <v>10745</v>
      </c>
      <c r="B562" s="25" t="s">
        <v>215</v>
      </c>
      <c r="C562" s="26">
        <v>43057</v>
      </c>
      <c r="D562" s="26">
        <v>43085</v>
      </c>
      <c r="E562" s="26">
        <v>43066</v>
      </c>
      <c r="F562" s="25" t="s">
        <v>645</v>
      </c>
      <c r="G562" s="25">
        <v>17.600000000000001</v>
      </c>
      <c r="H562" s="25" t="s">
        <v>10</v>
      </c>
      <c r="I562" s="27" t="str">
        <f t="shared" si="8"/>
        <v>Nov</v>
      </c>
    </row>
    <row r="563" spans="1:9" x14ac:dyDescent="0.25">
      <c r="A563" s="28">
        <v>10765</v>
      </c>
      <c r="B563" s="29" t="s">
        <v>215</v>
      </c>
      <c r="C563" s="30">
        <v>43073</v>
      </c>
      <c r="D563" s="30">
        <v>43101</v>
      </c>
      <c r="E563" s="30">
        <v>43078</v>
      </c>
      <c r="F563" s="29" t="s">
        <v>647</v>
      </c>
      <c r="G563" s="29">
        <v>213.70000000000002</v>
      </c>
      <c r="H563" s="29" t="s">
        <v>10</v>
      </c>
      <c r="I563" s="31" t="str">
        <f t="shared" si="8"/>
        <v>Dec</v>
      </c>
    </row>
    <row r="564" spans="1:9" x14ac:dyDescent="0.25">
      <c r="A564" s="24">
        <v>10788</v>
      </c>
      <c r="B564" s="25" t="s">
        <v>215</v>
      </c>
      <c r="C564" s="26">
        <v>43091</v>
      </c>
      <c r="D564" s="26">
        <v>43119</v>
      </c>
      <c r="E564" s="26">
        <v>43119</v>
      </c>
      <c r="F564" s="25" t="s">
        <v>646</v>
      </c>
      <c r="G564" s="25">
        <v>213.5</v>
      </c>
      <c r="H564" s="25" t="s">
        <v>10</v>
      </c>
      <c r="I564" s="27" t="str">
        <f t="shared" si="8"/>
        <v>Dec</v>
      </c>
    </row>
    <row r="565" spans="1:9" x14ac:dyDescent="0.25">
      <c r="A565" s="28">
        <v>10845</v>
      </c>
      <c r="B565" s="29" t="s">
        <v>215</v>
      </c>
      <c r="C565" s="30">
        <v>43121</v>
      </c>
      <c r="D565" s="30">
        <v>43135</v>
      </c>
      <c r="E565" s="30">
        <v>43130</v>
      </c>
      <c r="F565" s="29" t="s">
        <v>645</v>
      </c>
      <c r="G565" s="29">
        <v>1064.8999999999999</v>
      </c>
      <c r="H565" s="29" t="s">
        <v>10</v>
      </c>
      <c r="I565" s="31" t="str">
        <f t="shared" si="8"/>
        <v>Jan</v>
      </c>
    </row>
    <row r="566" spans="1:9" x14ac:dyDescent="0.25">
      <c r="A566" s="24">
        <v>10865</v>
      </c>
      <c r="B566" s="25" t="s">
        <v>215</v>
      </c>
      <c r="C566" s="26">
        <v>43133</v>
      </c>
      <c r="D566" s="26">
        <v>43147</v>
      </c>
      <c r="E566" s="26">
        <v>43143</v>
      </c>
      <c r="F566" s="25" t="s">
        <v>645</v>
      </c>
      <c r="G566" s="25">
        <v>1740.6999999999998</v>
      </c>
      <c r="H566" s="25" t="s">
        <v>10</v>
      </c>
      <c r="I566" s="27" t="str">
        <f t="shared" si="8"/>
        <v>Feb</v>
      </c>
    </row>
    <row r="567" spans="1:9" x14ac:dyDescent="0.25">
      <c r="A567" s="28">
        <v>10878</v>
      </c>
      <c r="B567" s="29" t="s">
        <v>215</v>
      </c>
      <c r="C567" s="30">
        <v>43141</v>
      </c>
      <c r="D567" s="30">
        <v>43169</v>
      </c>
      <c r="E567" s="30">
        <v>43143</v>
      </c>
      <c r="F567" s="29" t="s">
        <v>645</v>
      </c>
      <c r="G567" s="29">
        <v>233.45</v>
      </c>
      <c r="H567" s="29" t="s">
        <v>10</v>
      </c>
      <c r="I567" s="31" t="str">
        <f t="shared" si="8"/>
        <v>Feb</v>
      </c>
    </row>
    <row r="568" spans="1:9" x14ac:dyDescent="0.25">
      <c r="A568" s="24">
        <v>10938</v>
      </c>
      <c r="B568" s="25" t="s">
        <v>215</v>
      </c>
      <c r="C568" s="26">
        <v>43169</v>
      </c>
      <c r="D568" s="26">
        <v>43197</v>
      </c>
      <c r="E568" s="26">
        <v>43175</v>
      </c>
      <c r="F568" s="25" t="s">
        <v>646</v>
      </c>
      <c r="G568" s="25">
        <v>159.44999999999999</v>
      </c>
      <c r="H568" s="25" t="s">
        <v>10</v>
      </c>
      <c r="I568" s="27" t="str">
        <f t="shared" si="8"/>
        <v>Mar</v>
      </c>
    </row>
    <row r="569" spans="1:9" x14ac:dyDescent="0.25">
      <c r="A569" s="28">
        <v>10962</v>
      </c>
      <c r="B569" s="29" t="s">
        <v>215</v>
      </c>
      <c r="C569" s="30">
        <v>43178</v>
      </c>
      <c r="D569" s="30">
        <v>43206</v>
      </c>
      <c r="E569" s="30">
        <v>43182</v>
      </c>
      <c r="F569" s="29" t="s">
        <v>646</v>
      </c>
      <c r="G569" s="29">
        <v>1378.95</v>
      </c>
      <c r="H569" s="29" t="s">
        <v>10</v>
      </c>
      <c r="I569" s="31" t="str">
        <f t="shared" si="8"/>
        <v>Mar</v>
      </c>
    </row>
    <row r="570" spans="1:9" x14ac:dyDescent="0.25">
      <c r="A570" s="24">
        <v>10991</v>
      </c>
      <c r="B570" s="25" t="s">
        <v>215</v>
      </c>
      <c r="C570" s="26">
        <v>43191</v>
      </c>
      <c r="D570" s="26">
        <v>43219</v>
      </c>
      <c r="E570" s="26">
        <v>43197</v>
      </c>
      <c r="F570" s="25" t="s">
        <v>645</v>
      </c>
      <c r="G570" s="25">
        <v>192.54999999999998</v>
      </c>
      <c r="H570" s="25" t="s">
        <v>10</v>
      </c>
      <c r="I570" s="27" t="str">
        <f t="shared" si="8"/>
        <v>Apr</v>
      </c>
    </row>
    <row r="571" spans="1:9" x14ac:dyDescent="0.25">
      <c r="A571" s="28">
        <v>10996</v>
      </c>
      <c r="B571" s="29" t="s">
        <v>215</v>
      </c>
      <c r="C571" s="30">
        <v>43192</v>
      </c>
      <c r="D571" s="30">
        <v>43220</v>
      </c>
      <c r="E571" s="30">
        <v>43200</v>
      </c>
      <c r="F571" s="29" t="s">
        <v>646</v>
      </c>
      <c r="G571" s="29">
        <v>5.6000000000000005</v>
      </c>
      <c r="H571" s="29" t="s">
        <v>10</v>
      </c>
      <c r="I571" s="31" t="str">
        <f t="shared" si="8"/>
        <v>Apr</v>
      </c>
    </row>
    <row r="572" spans="1:9" x14ac:dyDescent="0.25">
      <c r="A572" s="24">
        <v>11021</v>
      </c>
      <c r="B572" s="25" t="s">
        <v>215</v>
      </c>
      <c r="C572" s="26">
        <v>43204</v>
      </c>
      <c r="D572" s="26">
        <v>43232</v>
      </c>
      <c r="E572" s="26">
        <v>43211</v>
      </c>
      <c r="F572" s="25" t="s">
        <v>645</v>
      </c>
      <c r="G572" s="25">
        <v>1485.9</v>
      </c>
      <c r="H572" s="25" t="s">
        <v>10</v>
      </c>
      <c r="I572" s="27" t="str">
        <f t="shared" si="8"/>
        <v>Apr</v>
      </c>
    </row>
    <row r="573" spans="1:9" x14ac:dyDescent="0.25">
      <c r="A573" s="28">
        <v>10448</v>
      </c>
      <c r="B573" s="29" t="s">
        <v>217</v>
      </c>
      <c r="C573" s="30">
        <v>42783</v>
      </c>
      <c r="D573" s="30">
        <v>42811</v>
      </c>
      <c r="E573" s="30">
        <v>42790</v>
      </c>
      <c r="F573" s="29" t="s">
        <v>646</v>
      </c>
      <c r="G573" s="29">
        <v>194.1</v>
      </c>
      <c r="H573" s="29" t="s">
        <v>9</v>
      </c>
      <c r="I573" s="31" t="str">
        <f t="shared" si="8"/>
        <v>Feb</v>
      </c>
    </row>
    <row r="574" spans="1:9" x14ac:dyDescent="0.25">
      <c r="A574" s="24">
        <v>10716</v>
      </c>
      <c r="B574" s="25" t="s">
        <v>217</v>
      </c>
      <c r="C574" s="26">
        <v>43032</v>
      </c>
      <c r="D574" s="26">
        <v>43060</v>
      </c>
      <c r="E574" s="26">
        <v>43035</v>
      </c>
      <c r="F574" s="25" t="s">
        <v>646</v>
      </c>
      <c r="G574" s="25">
        <v>112.85</v>
      </c>
      <c r="H574" s="25" t="s">
        <v>9</v>
      </c>
      <c r="I574" s="27" t="str">
        <f t="shared" si="8"/>
        <v>Oct</v>
      </c>
    </row>
    <row r="575" spans="1:9" x14ac:dyDescent="0.25">
      <c r="A575" s="28">
        <v>10828</v>
      </c>
      <c r="B575" s="29" t="s">
        <v>217</v>
      </c>
      <c r="C575" s="30">
        <v>43113</v>
      </c>
      <c r="D575" s="30">
        <v>43127</v>
      </c>
      <c r="E575" s="30">
        <v>43135</v>
      </c>
      <c r="F575" s="29" t="s">
        <v>645</v>
      </c>
      <c r="G575" s="29">
        <v>454.25</v>
      </c>
      <c r="H575" s="29" t="s">
        <v>9</v>
      </c>
      <c r="I575" s="31" t="str">
        <f t="shared" si="8"/>
        <v>Jan</v>
      </c>
    </row>
    <row r="576" spans="1:9" x14ac:dyDescent="0.25">
      <c r="A576" s="24">
        <v>10916</v>
      </c>
      <c r="B576" s="25" t="s">
        <v>217</v>
      </c>
      <c r="C576" s="26">
        <v>43158</v>
      </c>
      <c r="D576" s="26">
        <v>43186</v>
      </c>
      <c r="E576" s="26">
        <v>43168</v>
      </c>
      <c r="F576" s="25" t="s">
        <v>646</v>
      </c>
      <c r="G576" s="25">
        <v>318.85000000000002</v>
      </c>
      <c r="H576" s="25" t="s">
        <v>9</v>
      </c>
      <c r="I576" s="27" t="str">
        <f t="shared" si="8"/>
        <v>Feb</v>
      </c>
    </row>
    <row r="577" spans="1:9" x14ac:dyDescent="0.25">
      <c r="A577" s="28">
        <v>11019</v>
      </c>
      <c r="B577" s="29" t="s">
        <v>217</v>
      </c>
      <c r="C577" s="30">
        <v>43203</v>
      </c>
      <c r="D577" s="30">
        <v>43231</v>
      </c>
      <c r="E577" s="30"/>
      <c r="F577" s="29" t="s">
        <v>647</v>
      </c>
      <c r="G577" s="29">
        <v>15.85</v>
      </c>
      <c r="H577" s="29" t="s">
        <v>9</v>
      </c>
      <c r="I577" s="31" t="str">
        <f t="shared" si="8"/>
        <v>Apr</v>
      </c>
    </row>
    <row r="578" spans="1:9" x14ac:dyDescent="0.25">
      <c r="A578" s="24">
        <v>10262</v>
      </c>
      <c r="B578" s="25" t="s">
        <v>220</v>
      </c>
      <c r="C578" s="26">
        <v>42573</v>
      </c>
      <c r="D578" s="26">
        <v>42601</v>
      </c>
      <c r="E578" s="26">
        <v>42576</v>
      </c>
      <c r="F578" s="25" t="s">
        <v>647</v>
      </c>
      <c r="G578" s="25">
        <v>241.45</v>
      </c>
      <c r="H578" s="25" t="s">
        <v>371</v>
      </c>
      <c r="I578" s="27" t="str">
        <f t="shared" si="8"/>
        <v>Jul</v>
      </c>
    </row>
    <row r="579" spans="1:9" x14ac:dyDescent="0.25">
      <c r="A579" s="28">
        <v>10272</v>
      </c>
      <c r="B579" s="29" t="s">
        <v>220</v>
      </c>
      <c r="C579" s="30">
        <v>42584</v>
      </c>
      <c r="D579" s="30">
        <v>42612</v>
      </c>
      <c r="E579" s="30">
        <v>42588</v>
      </c>
      <c r="F579" s="29" t="s">
        <v>646</v>
      </c>
      <c r="G579" s="29">
        <v>490.15</v>
      </c>
      <c r="H579" s="29" t="s">
        <v>371</v>
      </c>
      <c r="I579" s="31" t="str">
        <f t="shared" ref="I579:I642" si="9">TEXT(C579,"mmm")</f>
        <v>Aug</v>
      </c>
    </row>
    <row r="580" spans="1:9" x14ac:dyDescent="0.25">
      <c r="A580" s="24">
        <v>10294</v>
      </c>
      <c r="B580" s="25" t="s">
        <v>220</v>
      </c>
      <c r="C580" s="26">
        <v>42612</v>
      </c>
      <c r="D580" s="26">
        <v>42640</v>
      </c>
      <c r="E580" s="26">
        <v>42618</v>
      </c>
      <c r="F580" s="25" t="s">
        <v>646</v>
      </c>
      <c r="G580" s="25">
        <v>736.3</v>
      </c>
      <c r="H580" s="25" t="s">
        <v>371</v>
      </c>
      <c r="I580" s="27" t="str">
        <f t="shared" si="9"/>
        <v>Aug</v>
      </c>
    </row>
    <row r="581" spans="1:9" x14ac:dyDescent="0.25">
      <c r="A581" s="28">
        <v>10314</v>
      </c>
      <c r="B581" s="29" t="s">
        <v>220</v>
      </c>
      <c r="C581" s="30">
        <v>42638</v>
      </c>
      <c r="D581" s="30">
        <v>42666</v>
      </c>
      <c r="E581" s="30">
        <v>42647</v>
      </c>
      <c r="F581" s="29" t="s">
        <v>646</v>
      </c>
      <c r="G581" s="29">
        <v>370.79999999999995</v>
      </c>
      <c r="H581" s="29" t="s">
        <v>371</v>
      </c>
      <c r="I581" s="31" t="str">
        <f t="shared" si="9"/>
        <v>Sep</v>
      </c>
    </row>
    <row r="582" spans="1:9" x14ac:dyDescent="0.25">
      <c r="A582" s="24">
        <v>10316</v>
      </c>
      <c r="B582" s="25" t="s">
        <v>220</v>
      </c>
      <c r="C582" s="26">
        <v>42640</v>
      </c>
      <c r="D582" s="26">
        <v>42668</v>
      </c>
      <c r="E582" s="26">
        <v>42651</v>
      </c>
      <c r="F582" s="25" t="s">
        <v>647</v>
      </c>
      <c r="G582" s="25">
        <v>750.75</v>
      </c>
      <c r="H582" s="25" t="s">
        <v>371</v>
      </c>
      <c r="I582" s="27" t="str">
        <f t="shared" si="9"/>
        <v>Sep</v>
      </c>
    </row>
    <row r="583" spans="1:9" x14ac:dyDescent="0.25">
      <c r="A583" s="28">
        <v>10346</v>
      </c>
      <c r="B583" s="29" t="s">
        <v>220</v>
      </c>
      <c r="C583" s="30">
        <v>42679</v>
      </c>
      <c r="D583" s="30">
        <v>42721</v>
      </c>
      <c r="E583" s="30">
        <v>42682</v>
      </c>
      <c r="F583" s="29" t="s">
        <v>647</v>
      </c>
      <c r="G583" s="29">
        <v>710.40000000000009</v>
      </c>
      <c r="H583" s="29" t="s">
        <v>371</v>
      </c>
      <c r="I583" s="31" t="str">
        <f t="shared" si="9"/>
        <v>Nov</v>
      </c>
    </row>
    <row r="584" spans="1:9" x14ac:dyDescent="0.25">
      <c r="A584" s="24">
        <v>10401</v>
      </c>
      <c r="B584" s="25" t="s">
        <v>220</v>
      </c>
      <c r="C584" s="26">
        <v>42736</v>
      </c>
      <c r="D584" s="26">
        <v>42764</v>
      </c>
      <c r="E584" s="26">
        <v>42745</v>
      </c>
      <c r="F584" s="25" t="s">
        <v>645</v>
      </c>
      <c r="G584" s="25">
        <v>62.55</v>
      </c>
      <c r="H584" s="25" t="s">
        <v>371</v>
      </c>
      <c r="I584" s="27" t="str">
        <f t="shared" si="9"/>
        <v>Jan</v>
      </c>
    </row>
    <row r="585" spans="1:9" x14ac:dyDescent="0.25">
      <c r="A585" s="28">
        <v>10479</v>
      </c>
      <c r="B585" s="29" t="s">
        <v>220</v>
      </c>
      <c r="C585" s="30">
        <v>42813</v>
      </c>
      <c r="D585" s="30">
        <v>42841</v>
      </c>
      <c r="E585" s="30">
        <v>42815</v>
      </c>
      <c r="F585" s="29" t="s">
        <v>647</v>
      </c>
      <c r="G585" s="29">
        <v>3544.75</v>
      </c>
      <c r="H585" s="29" t="s">
        <v>371</v>
      </c>
      <c r="I585" s="31" t="str">
        <f t="shared" si="9"/>
        <v>Mar</v>
      </c>
    </row>
    <row r="586" spans="1:9" x14ac:dyDescent="0.25">
      <c r="A586" s="24">
        <v>10564</v>
      </c>
      <c r="B586" s="25" t="s">
        <v>220</v>
      </c>
      <c r="C586" s="26">
        <v>42896</v>
      </c>
      <c r="D586" s="26">
        <v>42924</v>
      </c>
      <c r="E586" s="26">
        <v>42902</v>
      </c>
      <c r="F586" s="25" t="s">
        <v>647</v>
      </c>
      <c r="G586" s="25">
        <v>68.75</v>
      </c>
      <c r="H586" s="25" t="s">
        <v>371</v>
      </c>
      <c r="I586" s="27" t="str">
        <f t="shared" si="9"/>
        <v>Jun</v>
      </c>
    </row>
    <row r="587" spans="1:9" x14ac:dyDescent="0.25">
      <c r="A587" s="28">
        <v>10569</v>
      </c>
      <c r="B587" s="29" t="s">
        <v>220</v>
      </c>
      <c r="C587" s="30">
        <v>42902</v>
      </c>
      <c r="D587" s="30">
        <v>42930</v>
      </c>
      <c r="E587" s="30">
        <v>42927</v>
      </c>
      <c r="F587" s="29" t="s">
        <v>645</v>
      </c>
      <c r="G587" s="29">
        <v>294.89999999999998</v>
      </c>
      <c r="H587" s="29" t="s">
        <v>371</v>
      </c>
      <c r="I587" s="31" t="str">
        <f t="shared" si="9"/>
        <v>Jun</v>
      </c>
    </row>
    <row r="588" spans="1:9" x14ac:dyDescent="0.25">
      <c r="A588" s="24">
        <v>10598</v>
      </c>
      <c r="B588" s="25" t="s">
        <v>220</v>
      </c>
      <c r="C588" s="26">
        <v>42930</v>
      </c>
      <c r="D588" s="26">
        <v>42958</v>
      </c>
      <c r="E588" s="26">
        <v>42934</v>
      </c>
      <c r="F588" s="25" t="s">
        <v>647</v>
      </c>
      <c r="G588" s="25">
        <v>222.10000000000002</v>
      </c>
      <c r="H588" s="25" t="s">
        <v>371</v>
      </c>
      <c r="I588" s="27" t="str">
        <f t="shared" si="9"/>
        <v>Jul</v>
      </c>
    </row>
    <row r="589" spans="1:9" x14ac:dyDescent="0.25">
      <c r="A589" s="28">
        <v>10761</v>
      </c>
      <c r="B589" s="29" t="s">
        <v>220</v>
      </c>
      <c r="C589" s="30">
        <v>43071</v>
      </c>
      <c r="D589" s="30">
        <v>43099</v>
      </c>
      <c r="E589" s="30">
        <v>43077</v>
      </c>
      <c r="F589" s="29" t="s">
        <v>646</v>
      </c>
      <c r="G589" s="29">
        <v>93.3</v>
      </c>
      <c r="H589" s="29" t="s">
        <v>371</v>
      </c>
      <c r="I589" s="31" t="str">
        <f t="shared" si="9"/>
        <v>Dec</v>
      </c>
    </row>
    <row r="590" spans="1:9" x14ac:dyDescent="0.25">
      <c r="A590" s="24">
        <v>10820</v>
      </c>
      <c r="B590" s="25" t="s">
        <v>220</v>
      </c>
      <c r="C590" s="26">
        <v>43107</v>
      </c>
      <c r="D590" s="26">
        <v>43135</v>
      </c>
      <c r="E590" s="26">
        <v>43113</v>
      </c>
      <c r="F590" s="25" t="s">
        <v>646</v>
      </c>
      <c r="G590" s="25">
        <v>187.60000000000002</v>
      </c>
      <c r="H590" s="25" t="s">
        <v>371</v>
      </c>
      <c r="I590" s="27" t="str">
        <f t="shared" si="9"/>
        <v>Jan</v>
      </c>
    </row>
    <row r="591" spans="1:9" x14ac:dyDescent="0.25">
      <c r="A591" s="28">
        <v>10852</v>
      </c>
      <c r="B591" s="29" t="s">
        <v>220</v>
      </c>
      <c r="C591" s="30">
        <v>43126</v>
      </c>
      <c r="D591" s="30">
        <v>43140</v>
      </c>
      <c r="E591" s="30">
        <v>43130</v>
      </c>
      <c r="F591" s="29" t="s">
        <v>645</v>
      </c>
      <c r="G591" s="29">
        <v>870.25</v>
      </c>
      <c r="H591" s="29" t="s">
        <v>371</v>
      </c>
      <c r="I591" s="31" t="str">
        <f t="shared" si="9"/>
        <v>Jan</v>
      </c>
    </row>
    <row r="592" spans="1:9" x14ac:dyDescent="0.25">
      <c r="A592" s="24">
        <v>10889</v>
      </c>
      <c r="B592" s="25" t="s">
        <v>220</v>
      </c>
      <c r="C592" s="26">
        <v>43147</v>
      </c>
      <c r="D592" s="26">
        <v>43175</v>
      </c>
      <c r="E592" s="26">
        <v>43154</v>
      </c>
      <c r="F592" s="25" t="s">
        <v>647</v>
      </c>
      <c r="G592" s="25">
        <v>1403.0500000000002</v>
      </c>
      <c r="H592" s="25" t="s">
        <v>371</v>
      </c>
      <c r="I592" s="27" t="str">
        <f t="shared" si="9"/>
        <v>Feb</v>
      </c>
    </row>
    <row r="593" spans="1:9" x14ac:dyDescent="0.25">
      <c r="A593" s="28">
        <v>10988</v>
      </c>
      <c r="B593" s="29" t="s">
        <v>220</v>
      </c>
      <c r="C593" s="30">
        <v>43190</v>
      </c>
      <c r="D593" s="30">
        <v>43218</v>
      </c>
      <c r="E593" s="30">
        <v>43200</v>
      </c>
      <c r="F593" s="29" t="s">
        <v>646</v>
      </c>
      <c r="G593" s="29">
        <v>305.7</v>
      </c>
      <c r="H593" s="29" t="s">
        <v>371</v>
      </c>
      <c r="I593" s="31" t="str">
        <f t="shared" si="9"/>
        <v>Mar</v>
      </c>
    </row>
    <row r="594" spans="1:9" x14ac:dyDescent="0.25">
      <c r="A594" s="24">
        <v>11000</v>
      </c>
      <c r="B594" s="25" t="s">
        <v>220</v>
      </c>
      <c r="C594" s="26">
        <v>43196</v>
      </c>
      <c r="D594" s="26">
        <v>43224</v>
      </c>
      <c r="E594" s="26">
        <v>43204</v>
      </c>
      <c r="F594" s="25" t="s">
        <v>647</v>
      </c>
      <c r="G594" s="25">
        <v>275.59999999999997</v>
      </c>
      <c r="H594" s="25" t="s">
        <v>371</v>
      </c>
      <c r="I594" s="27" t="str">
        <f t="shared" si="9"/>
        <v>Apr</v>
      </c>
    </row>
    <row r="595" spans="1:9" x14ac:dyDescent="0.25">
      <c r="A595" s="28">
        <v>11077</v>
      </c>
      <c r="B595" s="29" t="s">
        <v>220</v>
      </c>
      <c r="C595" s="30">
        <v>43226</v>
      </c>
      <c r="D595" s="30">
        <v>43254</v>
      </c>
      <c r="E595" s="30"/>
      <c r="F595" s="29" t="s">
        <v>646</v>
      </c>
      <c r="G595" s="29">
        <v>42.65</v>
      </c>
      <c r="H595" s="29" t="s">
        <v>371</v>
      </c>
      <c r="I595" s="31" t="str">
        <f t="shared" si="9"/>
        <v>May</v>
      </c>
    </row>
    <row r="596" spans="1:9" x14ac:dyDescent="0.25">
      <c r="A596" s="24">
        <v>10288</v>
      </c>
      <c r="B596" s="25" t="s">
        <v>225</v>
      </c>
      <c r="C596" s="26">
        <v>42605</v>
      </c>
      <c r="D596" s="26">
        <v>42633</v>
      </c>
      <c r="E596" s="26">
        <v>42616</v>
      </c>
      <c r="F596" s="25" t="s">
        <v>645</v>
      </c>
      <c r="G596" s="25">
        <v>37.25</v>
      </c>
      <c r="H596" s="25" t="s">
        <v>372</v>
      </c>
      <c r="I596" s="27" t="str">
        <f t="shared" si="9"/>
        <v>Aug</v>
      </c>
    </row>
    <row r="597" spans="1:9" x14ac:dyDescent="0.25">
      <c r="A597" s="28">
        <v>10428</v>
      </c>
      <c r="B597" s="29" t="s">
        <v>225</v>
      </c>
      <c r="C597" s="30">
        <v>42763</v>
      </c>
      <c r="D597" s="30">
        <v>42791</v>
      </c>
      <c r="E597" s="30">
        <v>42770</v>
      </c>
      <c r="F597" s="29" t="s">
        <v>645</v>
      </c>
      <c r="G597" s="29">
        <v>55.45</v>
      </c>
      <c r="H597" s="29" t="s">
        <v>372</v>
      </c>
      <c r="I597" s="31" t="str">
        <f t="shared" si="9"/>
        <v>Jan</v>
      </c>
    </row>
    <row r="598" spans="1:9" x14ac:dyDescent="0.25">
      <c r="A598" s="24">
        <v>10443</v>
      </c>
      <c r="B598" s="25" t="s">
        <v>225</v>
      </c>
      <c r="C598" s="26">
        <v>42778</v>
      </c>
      <c r="D598" s="26">
        <v>42806</v>
      </c>
      <c r="E598" s="26">
        <v>42780</v>
      </c>
      <c r="F598" s="25" t="s">
        <v>645</v>
      </c>
      <c r="G598" s="25">
        <v>69.75</v>
      </c>
      <c r="H598" s="25" t="s">
        <v>372</v>
      </c>
      <c r="I598" s="27" t="str">
        <f t="shared" si="9"/>
        <v>Feb</v>
      </c>
    </row>
    <row r="599" spans="1:9" x14ac:dyDescent="0.25">
      <c r="A599" s="28">
        <v>10562</v>
      </c>
      <c r="B599" s="29" t="s">
        <v>225</v>
      </c>
      <c r="C599" s="30">
        <v>42895</v>
      </c>
      <c r="D599" s="30">
        <v>42923</v>
      </c>
      <c r="E599" s="30">
        <v>42898</v>
      </c>
      <c r="F599" s="29" t="s">
        <v>645</v>
      </c>
      <c r="G599" s="29">
        <v>114.75</v>
      </c>
      <c r="H599" s="29" t="s">
        <v>372</v>
      </c>
      <c r="I599" s="31" t="str">
        <f t="shared" si="9"/>
        <v>Jun</v>
      </c>
    </row>
    <row r="600" spans="1:9" x14ac:dyDescent="0.25">
      <c r="A600" s="24">
        <v>10586</v>
      </c>
      <c r="B600" s="25" t="s">
        <v>225</v>
      </c>
      <c r="C600" s="26">
        <v>42918</v>
      </c>
      <c r="D600" s="26">
        <v>42946</v>
      </c>
      <c r="E600" s="26">
        <v>42925</v>
      </c>
      <c r="F600" s="25" t="s">
        <v>645</v>
      </c>
      <c r="G600" s="25">
        <v>2.4</v>
      </c>
      <c r="H600" s="25" t="s">
        <v>372</v>
      </c>
      <c r="I600" s="27" t="str">
        <f t="shared" si="9"/>
        <v>Jul</v>
      </c>
    </row>
    <row r="601" spans="1:9" x14ac:dyDescent="0.25">
      <c r="A601" s="28">
        <v>10655</v>
      </c>
      <c r="B601" s="29" t="s">
        <v>225</v>
      </c>
      <c r="C601" s="30">
        <v>42981</v>
      </c>
      <c r="D601" s="30">
        <v>43009</v>
      </c>
      <c r="E601" s="30">
        <v>42989</v>
      </c>
      <c r="F601" s="29" t="s">
        <v>646</v>
      </c>
      <c r="G601" s="29">
        <v>22.05</v>
      </c>
      <c r="H601" s="29" t="s">
        <v>372</v>
      </c>
      <c r="I601" s="31" t="str">
        <f t="shared" si="9"/>
        <v>Sep</v>
      </c>
    </row>
    <row r="602" spans="1:9" x14ac:dyDescent="0.25">
      <c r="A602" s="24">
        <v>10727</v>
      </c>
      <c r="B602" s="25" t="s">
        <v>225</v>
      </c>
      <c r="C602" s="26">
        <v>43042</v>
      </c>
      <c r="D602" s="26">
        <v>43070</v>
      </c>
      <c r="E602" s="26">
        <v>43074</v>
      </c>
      <c r="F602" s="25" t="s">
        <v>645</v>
      </c>
      <c r="G602" s="25">
        <v>449.5</v>
      </c>
      <c r="H602" s="25" t="s">
        <v>372</v>
      </c>
      <c r="I602" s="27" t="str">
        <f t="shared" si="9"/>
        <v>Nov</v>
      </c>
    </row>
    <row r="603" spans="1:9" x14ac:dyDescent="0.25">
      <c r="A603" s="28">
        <v>10812</v>
      </c>
      <c r="B603" s="29" t="s">
        <v>225</v>
      </c>
      <c r="C603" s="30">
        <v>43102</v>
      </c>
      <c r="D603" s="30">
        <v>43130</v>
      </c>
      <c r="E603" s="30">
        <v>43112</v>
      </c>
      <c r="F603" s="29" t="s">
        <v>645</v>
      </c>
      <c r="G603" s="29">
        <v>298.89999999999998</v>
      </c>
      <c r="H603" s="29" t="s">
        <v>372</v>
      </c>
      <c r="I603" s="31" t="str">
        <f t="shared" si="9"/>
        <v>Jan</v>
      </c>
    </row>
    <row r="604" spans="1:9" x14ac:dyDescent="0.25">
      <c r="A604" s="24">
        <v>10908</v>
      </c>
      <c r="B604" s="25" t="s">
        <v>225</v>
      </c>
      <c r="C604" s="26">
        <v>43157</v>
      </c>
      <c r="D604" s="26">
        <v>43185</v>
      </c>
      <c r="E604" s="26">
        <v>43165</v>
      </c>
      <c r="F604" s="25" t="s">
        <v>646</v>
      </c>
      <c r="G604" s="25">
        <v>164.8</v>
      </c>
      <c r="H604" s="25" t="s">
        <v>372</v>
      </c>
      <c r="I604" s="27" t="str">
        <f t="shared" si="9"/>
        <v>Feb</v>
      </c>
    </row>
    <row r="605" spans="1:9" x14ac:dyDescent="0.25">
      <c r="A605" s="28">
        <v>10942</v>
      </c>
      <c r="B605" s="29" t="s">
        <v>225</v>
      </c>
      <c r="C605" s="30">
        <v>43170</v>
      </c>
      <c r="D605" s="30">
        <v>43198</v>
      </c>
      <c r="E605" s="30">
        <v>43177</v>
      </c>
      <c r="F605" s="29" t="s">
        <v>647</v>
      </c>
      <c r="G605" s="29">
        <v>89.75</v>
      </c>
      <c r="H605" s="29" t="s">
        <v>372</v>
      </c>
      <c r="I605" s="31" t="str">
        <f t="shared" si="9"/>
        <v>Mar</v>
      </c>
    </row>
    <row r="606" spans="1:9" x14ac:dyDescent="0.25">
      <c r="A606" s="24">
        <v>11010</v>
      </c>
      <c r="B606" s="25" t="s">
        <v>225</v>
      </c>
      <c r="C606" s="26">
        <v>43199</v>
      </c>
      <c r="D606" s="26">
        <v>43227</v>
      </c>
      <c r="E606" s="26">
        <v>43211</v>
      </c>
      <c r="F606" s="25" t="s">
        <v>646</v>
      </c>
      <c r="G606" s="25">
        <v>143.55000000000001</v>
      </c>
      <c r="H606" s="25" t="s">
        <v>372</v>
      </c>
      <c r="I606" s="27" t="str">
        <f t="shared" si="9"/>
        <v>Apr</v>
      </c>
    </row>
    <row r="607" spans="1:9" x14ac:dyDescent="0.25">
      <c r="A607" s="28">
        <v>11062</v>
      </c>
      <c r="B607" s="29" t="s">
        <v>225</v>
      </c>
      <c r="C607" s="30">
        <v>43220</v>
      </c>
      <c r="D607" s="30">
        <v>43248</v>
      </c>
      <c r="E607" s="30"/>
      <c r="F607" s="29" t="s">
        <v>646</v>
      </c>
      <c r="G607" s="29">
        <v>149.65</v>
      </c>
      <c r="H607" s="29" t="s">
        <v>372</v>
      </c>
      <c r="I607" s="31" t="str">
        <f t="shared" si="9"/>
        <v>Apr</v>
      </c>
    </row>
    <row r="608" spans="1:9" x14ac:dyDescent="0.25">
      <c r="A608" s="24">
        <v>10287</v>
      </c>
      <c r="B608" s="25" t="s">
        <v>228</v>
      </c>
      <c r="C608" s="26">
        <v>42604</v>
      </c>
      <c r="D608" s="26">
        <v>42632</v>
      </c>
      <c r="E608" s="26">
        <v>42610</v>
      </c>
      <c r="F608" s="25" t="s">
        <v>647</v>
      </c>
      <c r="G608" s="25">
        <v>63.8</v>
      </c>
      <c r="H608" s="25" t="s">
        <v>8</v>
      </c>
      <c r="I608" s="27" t="str">
        <f t="shared" si="9"/>
        <v>Aug</v>
      </c>
    </row>
    <row r="609" spans="1:9" x14ac:dyDescent="0.25">
      <c r="A609" s="28">
        <v>10299</v>
      </c>
      <c r="B609" s="29" t="s">
        <v>228</v>
      </c>
      <c r="C609" s="30">
        <v>42619</v>
      </c>
      <c r="D609" s="30">
        <v>42647</v>
      </c>
      <c r="E609" s="30">
        <v>42626</v>
      </c>
      <c r="F609" s="29" t="s">
        <v>646</v>
      </c>
      <c r="G609" s="29">
        <v>148.80000000000001</v>
      </c>
      <c r="H609" s="29" t="s">
        <v>8</v>
      </c>
      <c r="I609" s="31" t="str">
        <f t="shared" si="9"/>
        <v>Sep</v>
      </c>
    </row>
    <row r="610" spans="1:9" x14ac:dyDescent="0.25">
      <c r="A610" s="24">
        <v>10447</v>
      </c>
      <c r="B610" s="25" t="s">
        <v>228</v>
      </c>
      <c r="C610" s="26">
        <v>42780</v>
      </c>
      <c r="D610" s="26">
        <v>42808</v>
      </c>
      <c r="E610" s="26">
        <v>42801</v>
      </c>
      <c r="F610" s="25" t="s">
        <v>646</v>
      </c>
      <c r="G610" s="25">
        <v>343.29999999999995</v>
      </c>
      <c r="H610" s="25" t="s">
        <v>8</v>
      </c>
      <c r="I610" s="27" t="str">
        <f t="shared" si="9"/>
        <v>Feb</v>
      </c>
    </row>
    <row r="611" spans="1:9" x14ac:dyDescent="0.25">
      <c r="A611" s="28">
        <v>10481</v>
      </c>
      <c r="B611" s="29" t="s">
        <v>228</v>
      </c>
      <c r="C611" s="30">
        <v>42814</v>
      </c>
      <c r="D611" s="30">
        <v>42842</v>
      </c>
      <c r="E611" s="30">
        <v>42819</v>
      </c>
      <c r="F611" s="29" t="s">
        <v>646</v>
      </c>
      <c r="G611" s="29">
        <v>321.64999999999998</v>
      </c>
      <c r="H611" s="29" t="s">
        <v>8</v>
      </c>
      <c r="I611" s="31" t="str">
        <f t="shared" si="9"/>
        <v>Mar</v>
      </c>
    </row>
    <row r="612" spans="1:9" x14ac:dyDescent="0.25">
      <c r="A612" s="24">
        <v>10563</v>
      </c>
      <c r="B612" s="25" t="s">
        <v>228</v>
      </c>
      <c r="C612" s="26">
        <v>42896</v>
      </c>
      <c r="D612" s="26">
        <v>42938</v>
      </c>
      <c r="E612" s="26">
        <v>42910</v>
      </c>
      <c r="F612" s="25" t="s">
        <v>646</v>
      </c>
      <c r="G612" s="25">
        <v>302.14999999999998</v>
      </c>
      <c r="H612" s="25" t="s">
        <v>8</v>
      </c>
      <c r="I612" s="27" t="str">
        <f t="shared" si="9"/>
        <v>Jun</v>
      </c>
    </row>
    <row r="613" spans="1:9" x14ac:dyDescent="0.25">
      <c r="A613" s="28">
        <v>10622</v>
      </c>
      <c r="B613" s="29" t="s">
        <v>228</v>
      </c>
      <c r="C613" s="30">
        <v>42953</v>
      </c>
      <c r="D613" s="30">
        <v>42981</v>
      </c>
      <c r="E613" s="30">
        <v>42958</v>
      </c>
      <c r="F613" s="29" t="s">
        <v>647</v>
      </c>
      <c r="G613" s="29">
        <v>254.85</v>
      </c>
      <c r="H613" s="29" t="s">
        <v>8</v>
      </c>
      <c r="I613" s="31" t="str">
        <f t="shared" si="9"/>
        <v>Aug</v>
      </c>
    </row>
    <row r="614" spans="1:9" x14ac:dyDescent="0.25">
      <c r="A614" s="24">
        <v>10648</v>
      </c>
      <c r="B614" s="25" t="s">
        <v>228</v>
      </c>
      <c r="C614" s="26">
        <v>42975</v>
      </c>
      <c r="D614" s="26">
        <v>43017</v>
      </c>
      <c r="E614" s="26">
        <v>42987</v>
      </c>
      <c r="F614" s="25" t="s">
        <v>646</v>
      </c>
      <c r="G614" s="25">
        <v>71.25</v>
      </c>
      <c r="H614" s="25" t="s">
        <v>8</v>
      </c>
      <c r="I614" s="27" t="str">
        <f t="shared" si="9"/>
        <v>Aug</v>
      </c>
    </row>
    <row r="615" spans="1:9" x14ac:dyDescent="0.25">
      <c r="A615" s="28">
        <v>10813</v>
      </c>
      <c r="B615" s="29" t="s">
        <v>228</v>
      </c>
      <c r="C615" s="30">
        <v>43105</v>
      </c>
      <c r="D615" s="30">
        <v>43133</v>
      </c>
      <c r="E615" s="30">
        <v>43109</v>
      </c>
      <c r="F615" s="29" t="s">
        <v>645</v>
      </c>
      <c r="G615" s="29">
        <v>236.9</v>
      </c>
      <c r="H615" s="29" t="s">
        <v>8</v>
      </c>
      <c r="I615" s="31" t="str">
        <f t="shared" si="9"/>
        <v>Jan</v>
      </c>
    </row>
    <row r="616" spans="1:9" x14ac:dyDescent="0.25">
      <c r="A616" s="24">
        <v>10851</v>
      </c>
      <c r="B616" s="25" t="s">
        <v>228</v>
      </c>
      <c r="C616" s="26">
        <v>43126</v>
      </c>
      <c r="D616" s="26">
        <v>43154</v>
      </c>
      <c r="E616" s="26">
        <v>43133</v>
      </c>
      <c r="F616" s="25" t="s">
        <v>645</v>
      </c>
      <c r="G616" s="25">
        <v>802.75</v>
      </c>
      <c r="H616" s="25" t="s">
        <v>8</v>
      </c>
      <c r="I616" s="27" t="str">
        <f t="shared" si="9"/>
        <v>Jan</v>
      </c>
    </row>
    <row r="617" spans="1:9" x14ac:dyDescent="0.25">
      <c r="A617" s="28">
        <v>10877</v>
      </c>
      <c r="B617" s="29" t="s">
        <v>228</v>
      </c>
      <c r="C617" s="30">
        <v>43140</v>
      </c>
      <c r="D617" s="30">
        <v>43168</v>
      </c>
      <c r="E617" s="30">
        <v>43150</v>
      </c>
      <c r="F617" s="29" t="s">
        <v>645</v>
      </c>
      <c r="G617" s="29">
        <v>190.3</v>
      </c>
      <c r="H617" s="29" t="s">
        <v>8</v>
      </c>
      <c r="I617" s="31" t="str">
        <f t="shared" si="9"/>
        <v>Feb</v>
      </c>
    </row>
    <row r="618" spans="1:9" x14ac:dyDescent="0.25">
      <c r="A618" s="24">
        <v>11059</v>
      </c>
      <c r="B618" s="25" t="s">
        <v>228</v>
      </c>
      <c r="C618" s="26">
        <v>43219</v>
      </c>
      <c r="D618" s="26">
        <v>43261</v>
      </c>
      <c r="E618" s="26"/>
      <c r="F618" s="25" t="s">
        <v>646</v>
      </c>
      <c r="G618" s="25">
        <v>429</v>
      </c>
      <c r="H618" s="25" t="s">
        <v>8</v>
      </c>
      <c r="I618" s="27" t="str">
        <f t="shared" si="9"/>
        <v>Apr</v>
      </c>
    </row>
    <row r="619" spans="1:9" x14ac:dyDescent="0.25">
      <c r="A619" s="28">
        <v>10255</v>
      </c>
      <c r="B619" s="29" t="s">
        <v>230</v>
      </c>
      <c r="C619" s="30">
        <v>42563</v>
      </c>
      <c r="D619" s="30">
        <v>42591</v>
      </c>
      <c r="E619" s="30">
        <v>42566</v>
      </c>
      <c r="F619" s="29" t="s">
        <v>647</v>
      </c>
      <c r="G619" s="29">
        <v>741.65000000000009</v>
      </c>
      <c r="H619" s="29" t="s">
        <v>7</v>
      </c>
      <c r="I619" s="31" t="str">
        <f t="shared" si="9"/>
        <v>Jul</v>
      </c>
    </row>
    <row r="620" spans="1:9" x14ac:dyDescent="0.25">
      <c r="A620" s="24">
        <v>10419</v>
      </c>
      <c r="B620" s="25" t="s">
        <v>230</v>
      </c>
      <c r="C620" s="26">
        <v>42755</v>
      </c>
      <c r="D620" s="26">
        <v>42783</v>
      </c>
      <c r="E620" s="26">
        <v>42765</v>
      </c>
      <c r="F620" s="25" t="s">
        <v>646</v>
      </c>
      <c r="G620" s="25">
        <v>686.75</v>
      </c>
      <c r="H620" s="25" t="s">
        <v>7</v>
      </c>
      <c r="I620" s="27" t="str">
        <f t="shared" si="9"/>
        <v>Jan</v>
      </c>
    </row>
    <row r="621" spans="1:9" x14ac:dyDescent="0.25">
      <c r="A621" s="28">
        <v>10537</v>
      </c>
      <c r="B621" s="29" t="s">
        <v>230</v>
      </c>
      <c r="C621" s="30">
        <v>42869</v>
      </c>
      <c r="D621" s="30">
        <v>42883</v>
      </c>
      <c r="E621" s="30">
        <v>42874</v>
      </c>
      <c r="F621" s="29" t="s">
        <v>645</v>
      </c>
      <c r="G621" s="29">
        <v>394.25</v>
      </c>
      <c r="H621" s="29" t="s">
        <v>7</v>
      </c>
      <c r="I621" s="31" t="str">
        <f t="shared" si="9"/>
        <v>May</v>
      </c>
    </row>
    <row r="622" spans="1:9" x14ac:dyDescent="0.25">
      <c r="A622" s="24">
        <v>10666</v>
      </c>
      <c r="B622" s="25" t="s">
        <v>230</v>
      </c>
      <c r="C622" s="26">
        <v>42990</v>
      </c>
      <c r="D622" s="26">
        <v>43018</v>
      </c>
      <c r="E622" s="26">
        <v>43000</v>
      </c>
      <c r="F622" s="25" t="s">
        <v>646</v>
      </c>
      <c r="G622" s="25">
        <v>1162.0999999999999</v>
      </c>
      <c r="H622" s="25" t="s">
        <v>7</v>
      </c>
      <c r="I622" s="27" t="str">
        <f t="shared" si="9"/>
        <v>Sep</v>
      </c>
    </row>
    <row r="623" spans="1:9" x14ac:dyDescent="0.25">
      <c r="A623" s="28">
        <v>10751</v>
      </c>
      <c r="B623" s="29" t="s">
        <v>230</v>
      </c>
      <c r="C623" s="30">
        <v>43063</v>
      </c>
      <c r="D623" s="30">
        <v>43091</v>
      </c>
      <c r="E623" s="30">
        <v>43072</v>
      </c>
      <c r="F623" s="29" t="s">
        <v>647</v>
      </c>
      <c r="G623" s="29">
        <v>653.94999999999993</v>
      </c>
      <c r="H623" s="29" t="s">
        <v>7</v>
      </c>
      <c r="I623" s="31" t="str">
        <f t="shared" si="9"/>
        <v>Nov</v>
      </c>
    </row>
    <row r="624" spans="1:9" x14ac:dyDescent="0.25">
      <c r="A624" s="24">
        <v>10758</v>
      </c>
      <c r="B624" s="25" t="s">
        <v>230</v>
      </c>
      <c r="C624" s="26">
        <v>43067</v>
      </c>
      <c r="D624" s="26">
        <v>43095</v>
      </c>
      <c r="E624" s="26">
        <v>43073</v>
      </c>
      <c r="F624" s="25" t="s">
        <v>647</v>
      </c>
      <c r="G624" s="25">
        <v>690.84999999999991</v>
      </c>
      <c r="H624" s="25" t="s">
        <v>7</v>
      </c>
      <c r="I624" s="27" t="str">
        <f t="shared" si="9"/>
        <v>Nov</v>
      </c>
    </row>
    <row r="625" spans="1:9" x14ac:dyDescent="0.25">
      <c r="A625" s="28">
        <v>10931</v>
      </c>
      <c r="B625" s="29" t="s">
        <v>230</v>
      </c>
      <c r="C625" s="30">
        <v>43165</v>
      </c>
      <c r="D625" s="30">
        <v>43179</v>
      </c>
      <c r="E625" s="30">
        <v>43178</v>
      </c>
      <c r="F625" s="29" t="s">
        <v>646</v>
      </c>
      <c r="G625" s="29">
        <v>68</v>
      </c>
      <c r="H625" s="29" t="s">
        <v>7</v>
      </c>
      <c r="I625" s="31" t="str">
        <f t="shared" si="9"/>
        <v>Mar</v>
      </c>
    </row>
    <row r="626" spans="1:9" x14ac:dyDescent="0.25">
      <c r="A626" s="24">
        <v>10951</v>
      </c>
      <c r="B626" s="25" t="s">
        <v>230</v>
      </c>
      <c r="C626" s="26">
        <v>43175</v>
      </c>
      <c r="D626" s="26">
        <v>43217</v>
      </c>
      <c r="E626" s="26">
        <v>43197</v>
      </c>
      <c r="F626" s="25" t="s">
        <v>646</v>
      </c>
      <c r="G626" s="25">
        <v>154.25</v>
      </c>
      <c r="H626" s="25" t="s">
        <v>7</v>
      </c>
      <c r="I626" s="27" t="str">
        <f t="shared" si="9"/>
        <v>Mar</v>
      </c>
    </row>
    <row r="627" spans="1:9" x14ac:dyDescent="0.25">
      <c r="A627" s="28">
        <v>11033</v>
      </c>
      <c r="B627" s="29" t="s">
        <v>230</v>
      </c>
      <c r="C627" s="30">
        <v>43207</v>
      </c>
      <c r="D627" s="30">
        <v>43235</v>
      </c>
      <c r="E627" s="30">
        <v>43213</v>
      </c>
      <c r="F627" s="29" t="s">
        <v>647</v>
      </c>
      <c r="G627" s="29">
        <v>423.7</v>
      </c>
      <c r="H627" s="29" t="s">
        <v>7</v>
      </c>
      <c r="I627" s="31" t="str">
        <f t="shared" si="9"/>
        <v>Apr</v>
      </c>
    </row>
    <row r="628" spans="1:9" x14ac:dyDescent="0.25">
      <c r="A628" s="24">
        <v>11075</v>
      </c>
      <c r="B628" s="25" t="s">
        <v>230</v>
      </c>
      <c r="C628" s="26">
        <v>43226</v>
      </c>
      <c r="D628" s="26">
        <v>43254</v>
      </c>
      <c r="E628" s="26"/>
      <c r="F628" s="25" t="s">
        <v>646</v>
      </c>
      <c r="G628" s="25">
        <v>30.950000000000003</v>
      </c>
      <c r="H628" s="25" t="s">
        <v>7</v>
      </c>
      <c r="I628" s="27" t="str">
        <f t="shared" si="9"/>
        <v>May</v>
      </c>
    </row>
    <row r="629" spans="1:9" x14ac:dyDescent="0.25">
      <c r="A629" s="28">
        <v>10281</v>
      </c>
      <c r="B629" s="29" t="s">
        <v>232</v>
      </c>
      <c r="C629" s="30">
        <v>42596</v>
      </c>
      <c r="D629" s="30">
        <v>42610</v>
      </c>
      <c r="E629" s="30">
        <v>42603</v>
      </c>
      <c r="F629" s="29" t="s">
        <v>645</v>
      </c>
      <c r="G629" s="29">
        <v>14.7</v>
      </c>
      <c r="H629" s="29" t="s">
        <v>373</v>
      </c>
      <c r="I629" s="31" t="str">
        <f t="shared" si="9"/>
        <v>Aug</v>
      </c>
    </row>
    <row r="630" spans="1:9" x14ac:dyDescent="0.25">
      <c r="A630" s="24">
        <v>10282</v>
      </c>
      <c r="B630" s="25" t="s">
        <v>232</v>
      </c>
      <c r="C630" s="26">
        <v>42597</v>
      </c>
      <c r="D630" s="26">
        <v>42625</v>
      </c>
      <c r="E630" s="26">
        <v>42603</v>
      </c>
      <c r="F630" s="25" t="s">
        <v>645</v>
      </c>
      <c r="G630" s="25">
        <v>63.449999999999996</v>
      </c>
      <c r="H630" s="25" t="s">
        <v>373</v>
      </c>
      <c r="I630" s="27" t="str">
        <f t="shared" si="9"/>
        <v>Aug</v>
      </c>
    </row>
    <row r="631" spans="1:9" x14ac:dyDescent="0.25">
      <c r="A631" s="28">
        <v>10306</v>
      </c>
      <c r="B631" s="29" t="s">
        <v>232</v>
      </c>
      <c r="C631" s="30">
        <v>42629</v>
      </c>
      <c r="D631" s="30">
        <v>42657</v>
      </c>
      <c r="E631" s="30">
        <v>42636</v>
      </c>
      <c r="F631" s="29" t="s">
        <v>647</v>
      </c>
      <c r="G631" s="29">
        <v>37.799999999999997</v>
      </c>
      <c r="H631" s="29" t="s">
        <v>373</v>
      </c>
      <c r="I631" s="31" t="str">
        <f t="shared" si="9"/>
        <v>Sep</v>
      </c>
    </row>
    <row r="632" spans="1:9" x14ac:dyDescent="0.25">
      <c r="A632" s="24">
        <v>10917</v>
      </c>
      <c r="B632" s="25" t="s">
        <v>232</v>
      </c>
      <c r="C632" s="26">
        <v>43161</v>
      </c>
      <c r="D632" s="26">
        <v>43189</v>
      </c>
      <c r="E632" s="26">
        <v>43170</v>
      </c>
      <c r="F632" s="25" t="s">
        <v>646</v>
      </c>
      <c r="G632" s="25">
        <v>41.449999999999996</v>
      </c>
      <c r="H632" s="25" t="s">
        <v>373</v>
      </c>
      <c r="I632" s="27" t="str">
        <f t="shared" si="9"/>
        <v>Mar</v>
      </c>
    </row>
    <row r="633" spans="1:9" x14ac:dyDescent="0.25">
      <c r="A633" s="28">
        <v>11013</v>
      </c>
      <c r="B633" s="29" t="s">
        <v>232</v>
      </c>
      <c r="C633" s="30">
        <v>43199</v>
      </c>
      <c r="D633" s="30">
        <v>43227</v>
      </c>
      <c r="E633" s="30">
        <v>43200</v>
      </c>
      <c r="F633" s="29" t="s">
        <v>645</v>
      </c>
      <c r="G633" s="29">
        <v>164.95000000000002</v>
      </c>
      <c r="H633" s="29" t="s">
        <v>373</v>
      </c>
      <c r="I633" s="31" t="str">
        <f t="shared" si="9"/>
        <v>Apr</v>
      </c>
    </row>
    <row r="634" spans="1:9" x14ac:dyDescent="0.25">
      <c r="A634" s="24">
        <v>10387</v>
      </c>
      <c r="B634" s="25" t="s">
        <v>235</v>
      </c>
      <c r="C634" s="26">
        <v>42722</v>
      </c>
      <c r="D634" s="26">
        <v>42750</v>
      </c>
      <c r="E634" s="26">
        <v>42724</v>
      </c>
      <c r="F634" s="25" t="s">
        <v>646</v>
      </c>
      <c r="G634" s="25">
        <v>468.15</v>
      </c>
      <c r="H634" s="25" t="s">
        <v>374</v>
      </c>
      <c r="I634" s="27" t="str">
        <f t="shared" si="9"/>
        <v>Dec</v>
      </c>
    </row>
    <row r="635" spans="1:9" x14ac:dyDescent="0.25">
      <c r="A635" s="28">
        <v>10520</v>
      </c>
      <c r="B635" s="29" t="s">
        <v>235</v>
      </c>
      <c r="C635" s="30">
        <v>42854</v>
      </c>
      <c r="D635" s="30">
        <v>42882</v>
      </c>
      <c r="E635" s="30">
        <v>42856</v>
      </c>
      <c r="F635" s="29" t="s">
        <v>645</v>
      </c>
      <c r="G635" s="29">
        <v>66.849999999999994</v>
      </c>
      <c r="H635" s="29" t="s">
        <v>374</v>
      </c>
      <c r="I635" s="31" t="str">
        <f t="shared" si="9"/>
        <v>Apr</v>
      </c>
    </row>
    <row r="636" spans="1:9" x14ac:dyDescent="0.25">
      <c r="A636" s="24">
        <v>10639</v>
      </c>
      <c r="B636" s="25" t="s">
        <v>235</v>
      </c>
      <c r="C636" s="26">
        <v>42967</v>
      </c>
      <c r="D636" s="26">
        <v>42995</v>
      </c>
      <c r="E636" s="26">
        <v>42974</v>
      </c>
      <c r="F636" s="25" t="s">
        <v>647</v>
      </c>
      <c r="G636" s="25">
        <v>193.2</v>
      </c>
      <c r="H636" s="25" t="s">
        <v>374</v>
      </c>
      <c r="I636" s="27" t="str">
        <f t="shared" si="9"/>
        <v>Aug</v>
      </c>
    </row>
    <row r="637" spans="1:9" x14ac:dyDescent="0.25">
      <c r="A637" s="28">
        <v>10831</v>
      </c>
      <c r="B637" s="29" t="s">
        <v>235</v>
      </c>
      <c r="C637" s="30">
        <v>43114</v>
      </c>
      <c r="D637" s="30">
        <v>43142</v>
      </c>
      <c r="E637" s="30">
        <v>43123</v>
      </c>
      <c r="F637" s="29" t="s">
        <v>646</v>
      </c>
      <c r="G637" s="29">
        <v>360.95</v>
      </c>
      <c r="H637" s="29" t="s">
        <v>374</v>
      </c>
      <c r="I637" s="31" t="str">
        <f t="shared" si="9"/>
        <v>Jan</v>
      </c>
    </row>
    <row r="638" spans="1:9" x14ac:dyDescent="0.25">
      <c r="A638" s="24">
        <v>10909</v>
      </c>
      <c r="B638" s="25" t="s">
        <v>235</v>
      </c>
      <c r="C638" s="26">
        <v>43157</v>
      </c>
      <c r="D638" s="26">
        <v>43185</v>
      </c>
      <c r="E638" s="26">
        <v>43169</v>
      </c>
      <c r="F638" s="25" t="s">
        <v>646</v>
      </c>
      <c r="G638" s="25">
        <v>265.25</v>
      </c>
      <c r="H638" s="25" t="s">
        <v>374</v>
      </c>
      <c r="I638" s="27" t="str">
        <f t="shared" si="9"/>
        <v>Feb</v>
      </c>
    </row>
    <row r="639" spans="1:9" x14ac:dyDescent="0.25">
      <c r="A639" s="28">
        <v>11015</v>
      </c>
      <c r="B639" s="29" t="s">
        <v>235</v>
      </c>
      <c r="C639" s="30">
        <v>43200</v>
      </c>
      <c r="D639" s="30">
        <v>43214</v>
      </c>
      <c r="E639" s="30">
        <v>43210</v>
      </c>
      <c r="F639" s="29" t="s">
        <v>646</v>
      </c>
      <c r="G639" s="29">
        <v>23.1</v>
      </c>
      <c r="H639" s="29" t="s">
        <v>374</v>
      </c>
      <c r="I639" s="31" t="str">
        <f t="shared" si="9"/>
        <v>Apr</v>
      </c>
    </row>
    <row r="640" spans="1:9" x14ac:dyDescent="0.25">
      <c r="A640" s="24">
        <v>10324</v>
      </c>
      <c r="B640" s="25" t="s">
        <v>238</v>
      </c>
      <c r="C640" s="26">
        <v>42651</v>
      </c>
      <c r="D640" s="26">
        <v>42679</v>
      </c>
      <c r="E640" s="26">
        <v>42653</v>
      </c>
      <c r="F640" s="25" t="s">
        <v>645</v>
      </c>
      <c r="G640" s="25">
        <v>1071.3500000000001</v>
      </c>
      <c r="H640" s="25" t="s">
        <v>375</v>
      </c>
      <c r="I640" s="27" t="str">
        <f t="shared" si="9"/>
        <v>Oct</v>
      </c>
    </row>
    <row r="641" spans="1:9" x14ac:dyDescent="0.25">
      <c r="A641" s="28">
        <v>10393</v>
      </c>
      <c r="B641" s="29" t="s">
        <v>238</v>
      </c>
      <c r="C641" s="30">
        <v>42729</v>
      </c>
      <c r="D641" s="30">
        <v>42757</v>
      </c>
      <c r="E641" s="30">
        <v>42738</v>
      </c>
      <c r="F641" s="29" t="s">
        <v>647</v>
      </c>
      <c r="G641" s="29">
        <v>632.79999999999995</v>
      </c>
      <c r="H641" s="29" t="s">
        <v>375</v>
      </c>
      <c r="I641" s="31" t="str">
        <f t="shared" si="9"/>
        <v>Dec</v>
      </c>
    </row>
    <row r="642" spans="1:9" x14ac:dyDescent="0.25">
      <c r="A642" s="24">
        <v>10398</v>
      </c>
      <c r="B642" s="25" t="s">
        <v>238</v>
      </c>
      <c r="C642" s="26">
        <v>42734</v>
      </c>
      <c r="D642" s="26">
        <v>42762</v>
      </c>
      <c r="E642" s="26">
        <v>42744</v>
      </c>
      <c r="F642" s="25" t="s">
        <v>647</v>
      </c>
      <c r="G642" s="25">
        <v>445.79999999999995</v>
      </c>
      <c r="H642" s="25" t="s">
        <v>375</v>
      </c>
      <c r="I642" s="27" t="str">
        <f t="shared" si="9"/>
        <v>Dec</v>
      </c>
    </row>
    <row r="643" spans="1:9" x14ac:dyDescent="0.25">
      <c r="A643" s="28">
        <v>10440</v>
      </c>
      <c r="B643" s="29" t="s">
        <v>238</v>
      </c>
      <c r="C643" s="30">
        <v>42776</v>
      </c>
      <c r="D643" s="30">
        <v>42804</v>
      </c>
      <c r="E643" s="30">
        <v>42794</v>
      </c>
      <c r="F643" s="29" t="s">
        <v>646</v>
      </c>
      <c r="G643" s="29">
        <v>432.65</v>
      </c>
      <c r="H643" s="29" t="s">
        <v>375</v>
      </c>
      <c r="I643" s="31" t="str">
        <f t="shared" ref="I643:I706" si="10">TEXT(C643,"mmm")</f>
        <v>Feb</v>
      </c>
    </row>
    <row r="644" spans="1:9" x14ac:dyDescent="0.25">
      <c r="A644" s="24">
        <v>10452</v>
      </c>
      <c r="B644" s="25" t="s">
        <v>238</v>
      </c>
      <c r="C644" s="26">
        <v>42786</v>
      </c>
      <c r="D644" s="26">
        <v>42814</v>
      </c>
      <c r="E644" s="26">
        <v>42792</v>
      </c>
      <c r="F644" s="25" t="s">
        <v>645</v>
      </c>
      <c r="G644" s="25">
        <v>701.3</v>
      </c>
      <c r="H644" s="25" t="s">
        <v>375</v>
      </c>
      <c r="I644" s="27" t="str">
        <f t="shared" si="10"/>
        <v>Feb</v>
      </c>
    </row>
    <row r="645" spans="1:9" x14ac:dyDescent="0.25">
      <c r="A645" s="28">
        <v>10510</v>
      </c>
      <c r="B645" s="29" t="s">
        <v>238</v>
      </c>
      <c r="C645" s="30">
        <v>42843</v>
      </c>
      <c r="D645" s="30">
        <v>42871</v>
      </c>
      <c r="E645" s="30">
        <v>42853</v>
      </c>
      <c r="F645" s="29" t="s">
        <v>647</v>
      </c>
      <c r="G645" s="29">
        <v>1838.15</v>
      </c>
      <c r="H645" s="29" t="s">
        <v>375</v>
      </c>
      <c r="I645" s="31" t="str">
        <f t="shared" si="10"/>
        <v>Apr</v>
      </c>
    </row>
    <row r="646" spans="1:9" x14ac:dyDescent="0.25">
      <c r="A646" s="24">
        <v>10555</v>
      </c>
      <c r="B646" s="25" t="s">
        <v>238</v>
      </c>
      <c r="C646" s="26">
        <v>42888</v>
      </c>
      <c r="D646" s="26">
        <v>42916</v>
      </c>
      <c r="E646" s="26">
        <v>42890</v>
      </c>
      <c r="F646" s="25" t="s">
        <v>647</v>
      </c>
      <c r="G646" s="25">
        <v>1262.45</v>
      </c>
      <c r="H646" s="25" t="s">
        <v>375</v>
      </c>
      <c r="I646" s="27" t="str">
        <f t="shared" si="10"/>
        <v>Jun</v>
      </c>
    </row>
    <row r="647" spans="1:9" x14ac:dyDescent="0.25">
      <c r="A647" s="28">
        <v>10603</v>
      </c>
      <c r="B647" s="29" t="s">
        <v>238</v>
      </c>
      <c r="C647" s="30">
        <v>42934</v>
      </c>
      <c r="D647" s="30">
        <v>42962</v>
      </c>
      <c r="E647" s="30">
        <v>42955</v>
      </c>
      <c r="F647" s="29" t="s">
        <v>646</v>
      </c>
      <c r="G647" s="29">
        <v>243.85000000000002</v>
      </c>
      <c r="H647" s="29" t="s">
        <v>375</v>
      </c>
      <c r="I647" s="31" t="str">
        <f t="shared" si="10"/>
        <v>Jul</v>
      </c>
    </row>
    <row r="648" spans="1:9" x14ac:dyDescent="0.25">
      <c r="A648" s="24">
        <v>10607</v>
      </c>
      <c r="B648" s="25" t="s">
        <v>238</v>
      </c>
      <c r="C648" s="26">
        <v>42938</v>
      </c>
      <c r="D648" s="26">
        <v>42966</v>
      </c>
      <c r="E648" s="26">
        <v>42941</v>
      </c>
      <c r="F648" s="25" t="s">
        <v>645</v>
      </c>
      <c r="G648" s="25">
        <v>1001.2</v>
      </c>
      <c r="H648" s="25" t="s">
        <v>375</v>
      </c>
      <c r="I648" s="27" t="str">
        <f t="shared" si="10"/>
        <v>Jul</v>
      </c>
    </row>
    <row r="649" spans="1:9" x14ac:dyDescent="0.25">
      <c r="A649" s="28">
        <v>10612</v>
      </c>
      <c r="B649" s="29" t="s">
        <v>238</v>
      </c>
      <c r="C649" s="30">
        <v>42944</v>
      </c>
      <c r="D649" s="30">
        <v>42972</v>
      </c>
      <c r="E649" s="30">
        <v>42948</v>
      </c>
      <c r="F649" s="29" t="s">
        <v>646</v>
      </c>
      <c r="G649" s="29">
        <v>2720.4</v>
      </c>
      <c r="H649" s="29" t="s">
        <v>375</v>
      </c>
      <c r="I649" s="31" t="str">
        <f t="shared" si="10"/>
        <v>Jul</v>
      </c>
    </row>
    <row r="650" spans="1:9" x14ac:dyDescent="0.25">
      <c r="A650" s="24">
        <v>10627</v>
      </c>
      <c r="B650" s="25" t="s">
        <v>238</v>
      </c>
      <c r="C650" s="26">
        <v>42958</v>
      </c>
      <c r="D650" s="26">
        <v>43000</v>
      </c>
      <c r="E650" s="26">
        <v>42968</v>
      </c>
      <c r="F650" s="25" t="s">
        <v>647</v>
      </c>
      <c r="G650" s="25">
        <v>537.29999999999995</v>
      </c>
      <c r="H650" s="25" t="s">
        <v>375</v>
      </c>
      <c r="I650" s="27" t="str">
        <f t="shared" si="10"/>
        <v>Aug</v>
      </c>
    </row>
    <row r="651" spans="1:9" x14ac:dyDescent="0.25">
      <c r="A651" s="28">
        <v>10657</v>
      </c>
      <c r="B651" s="29" t="s">
        <v>238</v>
      </c>
      <c r="C651" s="30">
        <v>42982</v>
      </c>
      <c r="D651" s="30">
        <v>43010</v>
      </c>
      <c r="E651" s="30">
        <v>42993</v>
      </c>
      <c r="F651" s="29" t="s">
        <v>646</v>
      </c>
      <c r="G651" s="29">
        <v>1763.45</v>
      </c>
      <c r="H651" s="29" t="s">
        <v>375</v>
      </c>
      <c r="I651" s="31" t="str">
        <f t="shared" si="10"/>
        <v>Sep</v>
      </c>
    </row>
    <row r="652" spans="1:9" x14ac:dyDescent="0.25">
      <c r="A652" s="24">
        <v>10678</v>
      </c>
      <c r="B652" s="25" t="s">
        <v>238</v>
      </c>
      <c r="C652" s="26">
        <v>43001</v>
      </c>
      <c r="D652" s="26">
        <v>43029</v>
      </c>
      <c r="E652" s="26">
        <v>43024</v>
      </c>
      <c r="F652" s="25" t="s">
        <v>647</v>
      </c>
      <c r="G652" s="25">
        <v>1944.9</v>
      </c>
      <c r="H652" s="25" t="s">
        <v>375</v>
      </c>
      <c r="I652" s="27" t="str">
        <f t="shared" si="10"/>
        <v>Sep</v>
      </c>
    </row>
    <row r="653" spans="1:9" x14ac:dyDescent="0.25">
      <c r="A653" s="28">
        <v>10700</v>
      </c>
      <c r="B653" s="29" t="s">
        <v>238</v>
      </c>
      <c r="C653" s="30">
        <v>43018</v>
      </c>
      <c r="D653" s="30">
        <v>43046</v>
      </c>
      <c r="E653" s="30">
        <v>43024</v>
      </c>
      <c r="F653" s="29" t="s">
        <v>645</v>
      </c>
      <c r="G653" s="29">
        <v>325.5</v>
      </c>
      <c r="H653" s="29" t="s">
        <v>375</v>
      </c>
      <c r="I653" s="31" t="str">
        <f t="shared" si="10"/>
        <v>Oct</v>
      </c>
    </row>
    <row r="654" spans="1:9" x14ac:dyDescent="0.25">
      <c r="A654" s="24">
        <v>10711</v>
      </c>
      <c r="B654" s="25" t="s">
        <v>238</v>
      </c>
      <c r="C654" s="26">
        <v>43029</v>
      </c>
      <c r="D654" s="26">
        <v>43071</v>
      </c>
      <c r="E654" s="26">
        <v>43037</v>
      </c>
      <c r="F654" s="25" t="s">
        <v>646</v>
      </c>
      <c r="G654" s="25">
        <v>262.04999999999995</v>
      </c>
      <c r="H654" s="25" t="s">
        <v>375</v>
      </c>
      <c r="I654" s="27" t="str">
        <f t="shared" si="10"/>
        <v>Oct</v>
      </c>
    </row>
    <row r="655" spans="1:9" x14ac:dyDescent="0.25">
      <c r="A655" s="28">
        <v>10713</v>
      </c>
      <c r="B655" s="29" t="s">
        <v>238</v>
      </c>
      <c r="C655" s="30">
        <v>43030</v>
      </c>
      <c r="D655" s="30">
        <v>43058</v>
      </c>
      <c r="E655" s="30">
        <v>43032</v>
      </c>
      <c r="F655" s="29" t="s">
        <v>645</v>
      </c>
      <c r="G655" s="29">
        <v>835.25</v>
      </c>
      <c r="H655" s="29" t="s">
        <v>375</v>
      </c>
      <c r="I655" s="31" t="str">
        <f t="shared" si="10"/>
        <v>Oct</v>
      </c>
    </row>
    <row r="656" spans="1:9" x14ac:dyDescent="0.25">
      <c r="A656" s="24">
        <v>10714</v>
      </c>
      <c r="B656" s="25" t="s">
        <v>238</v>
      </c>
      <c r="C656" s="26">
        <v>43030</v>
      </c>
      <c r="D656" s="26">
        <v>43058</v>
      </c>
      <c r="E656" s="26">
        <v>43035</v>
      </c>
      <c r="F656" s="25" t="s">
        <v>647</v>
      </c>
      <c r="G656" s="25">
        <v>122.44999999999999</v>
      </c>
      <c r="H656" s="25" t="s">
        <v>375</v>
      </c>
      <c r="I656" s="27" t="str">
        <f t="shared" si="10"/>
        <v>Oct</v>
      </c>
    </row>
    <row r="657" spans="1:9" x14ac:dyDescent="0.25">
      <c r="A657" s="28">
        <v>10722</v>
      </c>
      <c r="B657" s="29" t="s">
        <v>238</v>
      </c>
      <c r="C657" s="30">
        <v>43037</v>
      </c>
      <c r="D657" s="30">
        <v>43079</v>
      </c>
      <c r="E657" s="30">
        <v>43043</v>
      </c>
      <c r="F657" s="29" t="s">
        <v>645</v>
      </c>
      <c r="G657" s="29">
        <v>372.9</v>
      </c>
      <c r="H657" s="29" t="s">
        <v>375</v>
      </c>
      <c r="I657" s="31" t="str">
        <f t="shared" si="10"/>
        <v>Oct</v>
      </c>
    </row>
    <row r="658" spans="1:9" x14ac:dyDescent="0.25">
      <c r="A658" s="24">
        <v>10748</v>
      </c>
      <c r="B658" s="25" t="s">
        <v>238</v>
      </c>
      <c r="C658" s="26">
        <v>43059</v>
      </c>
      <c r="D658" s="26">
        <v>43087</v>
      </c>
      <c r="E658" s="26">
        <v>43067</v>
      </c>
      <c r="F658" s="25" t="s">
        <v>645</v>
      </c>
      <c r="G658" s="25">
        <v>1162.75</v>
      </c>
      <c r="H658" s="25" t="s">
        <v>375</v>
      </c>
      <c r="I658" s="27" t="str">
        <f t="shared" si="10"/>
        <v>Nov</v>
      </c>
    </row>
    <row r="659" spans="1:9" x14ac:dyDescent="0.25">
      <c r="A659" s="28">
        <v>10757</v>
      </c>
      <c r="B659" s="29" t="s">
        <v>238</v>
      </c>
      <c r="C659" s="30">
        <v>43066</v>
      </c>
      <c r="D659" s="30">
        <v>43094</v>
      </c>
      <c r="E659" s="30">
        <v>43084</v>
      </c>
      <c r="F659" s="29" t="s">
        <v>645</v>
      </c>
      <c r="G659" s="29">
        <v>40.949999999999996</v>
      </c>
      <c r="H659" s="29" t="s">
        <v>375</v>
      </c>
      <c r="I659" s="31" t="str">
        <f t="shared" si="10"/>
        <v>Nov</v>
      </c>
    </row>
    <row r="660" spans="1:9" x14ac:dyDescent="0.25">
      <c r="A660" s="24">
        <v>10815</v>
      </c>
      <c r="B660" s="25" t="s">
        <v>238</v>
      </c>
      <c r="C660" s="26">
        <v>43105</v>
      </c>
      <c r="D660" s="26">
        <v>43133</v>
      </c>
      <c r="E660" s="26">
        <v>43114</v>
      </c>
      <c r="F660" s="25" t="s">
        <v>647</v>
      </c>
      <c r="G660" s="25">
        <v>73.099999999999994</v>
      </c>
      <c r="H660" s="25" t="s">
        <v>375</v>
      </c>
      <c r="I660" s="27" t="str">
        <f t="shared" si="10"/>
        <v>Jan</v>
      </c>
    </row>
    <row r="661" spans="1:9" x14ac:dyDescent="0.25">
      <c r="A661" s="28">
        <v>10847</v>
      </c>
      <c r="B661" s="29" t="s">
        <v>238</v>
      </c>
      <c r="C661" s="30">
        <v>43122</v>
      </c>
      <c r="D661" s="30">
        <v>43136</v>
      </c>
      <c r="E661" s="30">
        <v>43141</v>
      </c>
      <c r="F661" s="29" t="s">
        <v>647</v>
      </c>
      <c r="G661" s="29">
        <v>2437.85</v>
      </c>
      <c r="H661" s="29" t="s">
        <v>375</v>
      </c>
      <c r="I661" s="31" t="str">
        <f t="shared" si="10"/>
        <v>Jan</v>
      </c>
    </row>
    <row r="662" spans="1:9" x14ac:dyDescent="0.25">
      <c r="A662" s="24">
        <v>10882</v>
      </c>
      <c r="B662" s="25" t="s">
        <v>238</v>
      </c>
      <c r="C662" s="26">
        <v>43142</v>
      </c>
      <c r="D662" s="26">
        <v>43170</v>
      </c>
      <c r="E662" s="26">
        <v>43151</v>
      </c>
      <c r="F662" s="25" t="s">
        <v>647</v>
      </c>
      <c r="G662" s="25">
        <v>115.5</v>
      </c>
      <c r="H662" s="25" t="s">
        <v>375</v>
      </c>
      <c r="I662" s="27" t="str">
        <f t="shared" si="10"/>
        <v>Feb</v>
      </c>
    </row>
    <row r="663" spans="1:9" x14ac:dyDescent="0.25">
      <c r="A663" s="28">
        <v>10894</v>
      </c>
      <c r="B663" s="29" t="s">
        <v>238</v>
      </c>
      <c r="C663" s="30">
        <v>43149</v>
      </c>
      <c r="D663" s="30">
        <v>43177</v>
      </c>
      <c r="E663" s="30">
        <v>43151</v>
      </c>
      <c r="F663" s="29" t="s">
        <v>645</v>
      </c>
      <c r="G663" s="29">
        <v>580.65</v>
      </c>
      <c r="H663" s="29" t="s">
        <v>375</v>
      </c>
      <c r="I663" s="31" t="str">
        <f t="shared" si="10"/>
        <v>Feb</v>
      </c>
    </row>
    <row r="664" spans="1:9" x14ac:dyDescent="0.25">
      <c r="A664" s="24">
        <v>10941</v>
      </c>
      <c r="B664" s="25" t="s">
        <v>238</v>
      </c>
      <c r="C664" s="26">
        <v>43170</v>
      </c>
      <c r="D664" s="26">
        <v>43198</v>
      </c>
      <c r="E664" s="26">
        <v>43179</v>
      </c>
      <c r="F664" s="25" t="s">
        <v>646</v>
      </c>
      <c r="G664" s="25">
        <v>2004.05</v>
      </c>
      <c r="H664" s="25" t="s">
        <v>375</v>
      </c>
      <c r="I664" s="27" t="str">
        <f t="shared" si="10"/>
        <v>Mar</v>
      </c>
    </row>
    <row r="665" spans="1:9" x14ac:dyDescent="0.25">
      <c r="A665" s="28">
        <v>10983</v>
      </c>
      <c r="B665" s="29" t="s">
        <v>238</v>
      </c>
      <c r="C665" s="30">
        <v>43186</v>
      </c>
      <c r="D665" s="30">
        <v>43214</v>
      </c>
      <c r="E665" s="30">
        <v>43196</v>
      </c>
      <c r="F665" s="29" t="s">
        <v>646</v>
      </c>
      <c r="G665" s="29">
        <v>3287.7</v>
      </c>
      <c r="H665" s="29" t="s">
        <v>375</v>
      </c>
      <c r="I665" s="31" t="str">
        <f t="shared" si="10"/>
        <v>Mar</v>
      </c>
    </row>
    <row r="666" spans="1:9" x14ac:dyDescent="0.25">
      <c r="A666" s="24">
        <v>10984</v>
      </c>
      <c r="B666" s="25" t="s">
        <v>238</v>
      </c>
      <c r="C666" s="26">
        <v>43189</v>
      </c>
      <c r="D666" s="26">
        <v>43217</v>
      </c>
      <c r="E666" s="26">
        <v>43193</v>
      </c>
      <c r="F666" s="25" t="s">
        <v>647</v>
      </c>
      <c r="G666" s="25">
        <v>1056.0999999999999</v>
      </c>
      <c r="H666" s="25" t="s">
        <v>375</v>
      </c>
      <c r="I666" s="27" t="str">
        <f t="shared" si="10"/>
        <v>Mar</v>
      </c>
    </row>
    <row r="667" spans="1:9" x14ac:dyDescent="0.25">
      <c r="A667" s="28">
        <v>11002</v>
      </c>
      <c r="B667" s="29" t="s">
        <v>238</v>
      </c>
      <c r="C667" s="30">
        <v>43196</v>
      </c>
      <c r="D667" s="30">
        <v>43224</v>
      </c>
      <c r="E667" s="30">
        <v>43206</v>
      </c>
      <c r="F667" s="29" t="s">
        <v>645</v>
      </c>
      <c r="G667" s="29">
        <v>705.8</v>
      </c>
      <c r="H667" s="29" t="s">
        <v>375</v>
      </c>
      <c r="I667" s="31" t="str">
        <f t="shared" si="10"/>
        <v>Apr</v>
      </c>
    </row>
    <row r="668" spans="1:9" x14ac:dyDescent="0.25">
      <c r="A668" s="24">
        <v>11030</v>
      </c>
      <c r="B668" s="25" t="s">
        <v>238</v>
      </c>
      <c r="C668" s="26">
        <v>43207</v>
      </c>
      <c r="D668" s="26">
        <v>43235</v>
      </c>
      <c r="E668" s="26">
        <v>43217</v>
      </c>
      <c r="F668" s="25" t="s">
        <v>646</v>
      </c>
      <c r="G668" s="25">
        <v>4153.75</v>
      </c>
      <c r="H668" s="25" t="s">
        <v>375</v>
      </c>
      <c r="I668" s="27" t="str">
        <f t="shared" si="10"/>
        <v>Apr</v>
      </c>
    </row>
    <row r="669" spans="1:9" x14ac:dyDescent="0.25">
      <c r="A669" s="28">
        <v>11031</v>
      </c>
      <c r="B669" s="29" t="s">
        <v>238</v>
      </c>
      <c r="C669" s="30">
        <v>43207</v>
      </c>
      <c r="D669" s="30">
        <v>43235</v>
      </c>
      <c r="E669" s="30">
        <v>43214</v>
      </c>
      <c r="F669" s="29" t="s">
        <v>646</v>
      </c>
      <c r="G669" s="29">
        <v>1136.0999999999999</v>
      </c>
      <c r="H669" s="29" t="s">
        <v>375</v>
      </c>
      <c r="I669" s="31" t="str">
        <f t="shared" si="10"/>
        <v>Apr</v>
      </c>
    </row>
    <row r="670" spans="1:9" x14ac:dyDescent="0.25">
      <c r="A670" s="24">
        <v>11064</v>
      </c>
      <c r="B670" s="25" t="s">
        <v>238</v>
      </c>
      <c r="C670" s="26">
        <v>43221</v>
      </c>
      <c r="D670" s="26">
        <v>43249</v>
      </c>
      <c r="E670" s="26">
        <v>43224</v>
      </c>
      <c r="F670" s="25" t="s">
        <v>645</v>
      </c>
      <c r="G670" s="25">
        <v>150.44999999999999</v>
      </c>
      <c r="H670" s="25" t="s">
        <v>375</v>
      </c>
      <c r="I670" s="27" t="str">
        <f t="shared" si="10"/>
        <v>May</v>
      </c>
    </row>
    <row r="671" spans="1:9" x14ac:dyDescent="0.25">
      <c r="A671" s="28">
        <v>10359</v>
      </c>
      <c r="B671" s="29" t="s">
        <v>241</v>
      </c>
      <c r="C671" s="30">
        <v>42695</v>
      </c>
      <c r="D671" s="30">
        <v>42723</v>
      </c>
      <c r="E671" s="30">
        <v>42700</v>
      </c>
      <c r="F671" s="29" t="s">
        <v>647</v>
      </c>
      <c r="G671" s="29">
        <v>1442.15</v>
      </c>
      <c r="H671" s="29" t="s">
        <v>6</v>
      </c>
      <c r="I671" s="31" t="str">
        <f t="shared" si="10"/>
        <v>Nov</v>
      </c>
    </row>
    <row r="672" spans="1:9" x14ac:dyDescent="0.25">
      <c r="A672" s="24">
        <v>10377</v>
      </c>
      <c r="B672" s="25" t="s">
        <v>241</v>
      </c>
      <c r="C672" s="26">
        <v>42713</v>
      </c>
      <c r="D672" s="26">
        <v>42741</v>
      </c>
      <c r="E672" s="26">
        <v>42717</v>
      </c>
      <c r="F672" s="25" t="s">
        <v>647</v>
      </c>
      <c r="G672" s="25">
        <v>111.05000000000001</v>
      </c>
      <c r="H672" s="25" t="s">
        <v>6</v>
      </c>
      <c r="I672" s="27" t="str">
        <f t="shared" si="10"/>
        <v>Dec</v>
      </c>
    </row>
    <row r="673" spans="1:9" x14ac:dyDescent="0.25">
      <c r="A673" s="28">
        <v>10388</v>
      </c>
      <c r="B673" s="29" t="s">
        <v>241</v>
      </c>
      <c r="C673" s="30">
        <v>42723</v>
      </c>
      <c r="D673" s="30">
        <v>42751</v>
      </c>
      <c r="E673" s="30">
        <v>42724</v>
      </c>
      <c r="F673" s="29" t="s">
        <v>645</v>
      </c>
      <c r="G673" s="29">
        <v>174.3</v>
      </c>
      <c r="H673" s="29" t="s">
        <v>6</v>
      </c>
      <c r="I673" s="31" t="str">
        <f t="shared" si="10"/>
        <v>Dec</v>
      </c>
    </row>
    <row r="674" spans="1:9" x14ac:dyDescent="0.25">
      <c r="A674" s="24">
        <v>10472</v>
      </c>
      <c r="B674" s="25" t="s">
        <v>241</v>
      </c>
      <c r="C674" s="26">
        <v>42806</v>
      </c>
      <c r="D674" s="26">
        <v>42834</v>
      </c>
      <c r="E674" s="26">
        <v>42813</v>
      </c>
      <c r="F674" s="25" t="s">
        <v>645</v>
      </c>
      <c r="G674" s="25">
        <v>21</v>
      </c>
      <c r="H674" s="25" t="s">
        <v>6</v>
      </c>
      <c r="I674" s="27" t="str">
        <f t="shared" si="10"/>
        <v>Mar</v>
      </c>
    </row>
    <row r="675" spans="1:9" x14ac:dyDescent="0.25">
      <c r="A675" s="28">
        <v>10523</v>
      </c>
      <c r="B675" s="29" t="s">
        <v>241</v>
      </c>
      <c r="C675" s="30">
        <v>42856</v>
      </c>
      <c r="D675" s="30">
        <v>42884</v>
      </c>
      <c r="E675" s="30">
        <v>42885</v>
      </c>
      <c r="F675" s="29" t="s">
        <v>646</v>
      </c>
      <c r="G675" s="29">
        <v>388.15</v>
      </c>
      <c r="H675" s="29" t="s">
        <v>6</v>
      </c>
      <c r="I675" s="31" t="str">
        <f t="shared" si="10"/>
        <v>May</v>
      </c>
    </row>
    <row r="676" spans="1:9" x14ac:dyDescent="0.25">
      <c r="A676" s="24">
        <v>10547</v>
      </c>
      <c r="B676" s="25" t="s">
        <v>241</v>
      </c>
      <c r="C676" s="26">
        <v>42878</v>
      </c>
      <c r="D676" s="26">
        <v>42906</v>
      </c>
      <c r="E676" s="26">
        <v>42888</v>
      </c>
      <c r="F676" s="25" t="s">
        <v>646</v>
      </c>
      <c r="G676" s="25">
        <v>892.15000000000009</v>
      </c>
      <c r="H676" s="25" t="s">
        <v>6</v>
      </c>
      <c r="I676" s="27" t="str">
        <f t="shared" si="10"/>
        <v>May</v>
      </c>
    </row>
    <row r="677" spans="1:9" x14ac:dyDescent="0.25">
      <c r="A677" s="28">
        <v>10800</v>
      </c>
      <c r="B677" s="29" t="s">
        <v>241</v>
      </c>
      <c r="C677" s="30">
        <v>43095</v>
      </c>
      <c r="D677" s="30">
        <v>43123</v>
      </c>
      <c r="E677" s="30">
        <v>43105</v>
      </c>
      <c r="F677" s="29" t="s">
        <v>647</v>
      </c>
      <c r="G677" s="29">
        <v>687.2</v>
      </c>
      <c r="H677" s="29" t="s">
        <v>6</v>
      </c>
      <c r="I677" s="31" t="str">
        <f t="shared" si="10"/>
        <v>Dec</v>
      </c>
    </row>
    <row r="678" spans="1:9" x14ac:dyDescent="0.25">
      <c r="A678" s="24">
        <v>10804</v>
      </c>
      <c r="B678" s="25" t="s">
        <v>241</v>
      </c>
      <c r="C678" s="26">
        <v>43099</v>
      </c>
      <c r="D678" s="26">
        <v>43127</v>
      </c>
      <c r="E678" s="26">
        <v>43107</v>
      </c>
      <c r="F678" s="25" t="s">
        <v>646</v>
      </c>
      <c r="G678" s="25">
        <v>136.64999999999998</v>
      </c>
      <c r="H678" s="25" t="s">
        <v>6</v>
      </c>
      <c r="I678" s="27" t="str">
        <f t="shared" si="10"/>
        <v>Dec</v>
      </c>
    </row>
    <row r="679" spans="1:9" x14ac:dyDescent="0.25">
      <c r="A679" s="28">
        <v>10869</v>
      </c>
      <c r="B679" s="29" t="s">
        <v>241</v>
      </c>
      <c r="C679" s="30">
        <v>43135</v>
      </c>
      <c r="D679" s="30">
        <v>43163</v>
      </c>
      <c r="E679" s="30">
        <v>43140</v>
      </c>
      <c r="F679" s="29" t="s">
        <v>645</v>
      </c>
      <c r="G679" s="29">
        <v>716.4</v>
      </c>
      <c r="H679" s="29" t="s">
        <v>6</v>
      </c>
      <c r="I679" s="31" t="str">
        <f t="shared" si="10"/>
        <v>Feb</v>
      </c>
    </row>
    <row r="680" spans="1:9" x14ac:dyDescent="0.25">
      <c r="A680" s="24">
        <v>10341</v>
      </c>
      <c r="B680" s="25" t="s">
        <v>244</v>
      </c>
      <c r="C680" s="26">
        <v>42672</v>
      </c>
      <c r="D680" s="26">
        <v>42700</v>
      </c>
      <c r="E680" s="26">
        <v>42679</v>
      </c>
      <c r="F680" s="25" t="s">
        <v>647</v>
      </c>
      <c r="G680" s="25">
        <v>133.9</v>
      </c>
      <c r="H680" s="25" t="s">
        <v>5</v>
      </c>
      <c r="I680" s="27" t="str">
        <f t="shared" si="10"/>
        <v>Oct</v>
      </c>
    </row>
    <row r="681" spans="1:9" x14ac:dyDescent="0.25">
      <c r="A681" s="28">
        <v>10417</v>
      </c>
      <c r="B681" s="29" t="s">
        <v>244</v>
      </c>
      <c r="C681" s="30">
        <v>42751</v>
      </c>
      <c r="D681" s="30">
        <v>42779</v>
      </c>
      <c r="E681" s="30">
        <v>42763</v>
      </c>
      <c r="F681" s="29" t="s">
        <v>647</v>
      </c>
      <c r="G681" s="29">
        <v>351.45000000000005</v>
      </c>
      <c r="H681" s="29" t="s">
        <v>5</v>
      </c>
      <c r="I681" s="31" t="str">
        <f t="shared" si="10"/>
        <v>Jan</v>
      </c>
    </row>
    <row r="682" spans="1:9" x14ac:dyDescent="0.25">
      <c r="A682" s="24">
        <v>10556</v>
      </c>
      <c r="B682" s="25" t="s">
        <v>244</v>
      </c>
      <c r="C682" s="26">
        <v>42889</v>
      </c>
      <c r="D682" s="26">
        <v>42931</v>
      </c>
      <c r="E682" s="26">
        <v>42899</v>
      </c>
      <c r="F682" s="25" t="s">
        <v>645</v>
      </c>
      <c r="G682" s="25">
        <v>49</v>
      </c>
      <c r="H682" s="25" t="s">
        <v>5</v>
      </c>
      <c r="I682" s="27" t="str">
        <f t="shared" si="10"/>
        <v>Jun</v>
      </c>
    </row>
    <row r="683" spans="1:9" x14ac:dyDescent="0.25">
      <c r="A683" s="28">
        <v>10642</v>
      </c>
      <c r="B683" s="29" t="s">
        <v>244</v>
      </c>
      <c r="C683" s="30">
        <v>42969</v>
      </c>
      <c r="D683" s="30">
        <v>42997</v>
      </c>
      <c r="E683" s="30">
        <v>42983</v>
      </c>
      <c r="F683" s="29" t="s">
        <v>647</v>
      </c>
      <c r="G683" s="29">
        <v>209.45</v>
      </c>
      <c r="H683" s="29" t="s">
        <v>5</v>
      </c>
      <c r="I683" s="31" t="str">
        <f t="shared" si="10"/>
        <v>Aug</v>
      </c>
    </row>
    <row r="684" spans="1:9" x14ac:dyDescent="0.25">
      <c r="A684" s="24">
        <v>10669</v>
      </c>
      <c r="B684" s="25" t="s">
        <v>244</v>
      </c>
      <c r="C684" s="26">
        <v>42993</v>
      </c>
      <c r="D684" s="26">
        <v>43021</v>
      </c>
      <c r="E684" s="26">
        <v>43000</v>
      </c>
      <c r="F684" s="25" t="s">
        <v>645</v>
      </c>
      <c r="G684" s="25">
        <v>121.95</v>
      </c>
      <c r="H684" s="25" t="s">
        <v>5</v>
      </c>
      <c r="I684" s="27" t="str">
        <f t="shared" si="10"/>
        <v>Sep</v>
      </c>
    </row>
    <row r="685" spans="1:9" x14ac:dyDescent="0.25">
      <c r="A685" s="28">
        <v>10802</v>
      </c>
      <c r="B685" s="29" t="s">
        <v>244</v>
      </c>
      <c r="C685" s="30">
        <v>43098</v>
      </c>
      <c r="D685" s="30">
        <v>43126</v>
      </c>
      <c r="E685" s="30">
        <v>43102</v>
      </c>
      <c r="F685" s="29" t="s">
        <v>646</v>
      </c>
      <c r="G685" s="29">
        <v>1286.3</v>
      </c>
      <c r="H685" s="29" t="s">
        <v>5</v>
      </c>
      <c r="I685" s="31" t="str">
        <f t="shared" si="10"/>
        <v>Dec</v>
      </c>
    </row>
    <row r="686" spans="1:9" x14ac:dyDescent="0.25">
      <c r="A686" s="24">
        <v>11074</v>
      </c>
      <c r="B686" s="25" t="s">
        <v>244</v>
      </c>
      <c r="C686" s="26">
        <v>43226</v>
      </c>
      <c r="D686" s="26">
        <v>43254</v>
      </c>
      <c r="E686" s="26"/>
      <c r="F686" s="25" t="s">
        <v>646</v>
      </c>
      <c r="G686" s="25">
        <v>92.2</v>
      </c>
      <c r="H686" s="25" t="s">
        <v>5</v>
      </c>
      <c r="I686" s="27" t="str">
        <f t="shared" si="10"/>
        <v>May</v>
      </c>
    </row>
    <row r="687" spans="1:9" x14ac:dyDescent="0.25">
      <c r="A687" s="28">
        <v>10738</v>
      </c>
      <c r="B687" s="29" t="s">
        <v>247</v>
      </c>
      <c r="C687" s="30">
        <v>43051</v>
      </c>
      <c r="D687" s="30">
        <v>43079</v>
      </c>
      <c r="E687" s="30">
        <v>43057</v>
      </c>
      <c r="F687" s="29" t="s">
        <v>645</v>
      </c>
      <c r="G687" s="29">
        <v>14.55</v>
      </c>
      <c r="H687" s="29" t="s">
        <v>376</v>
      </c>
      <c r="I687" s="31" t="str">
        <f t="shared" si="10"/>
        <v>Nov</v>
      </c>
    </row>
    <row r="688" spans="1:9" x14ac:dyDescent="0.25">
      <c r="A688" s="24">
        <v>10907</v>
      </c>
      <c r="B688" s="25" t="s">
        <v>247</v>
      </c>
      <c r="C688" s="26">
        <v>43156</v>
      </c>
      <c r="D688" s="26">
        <v>43184</v>
      </c>
      <c r="E688" s="26">
        <v>43158</v>
      </c>
      <c r="F688" s="25" t="s">
        <v>647</v>
      </c>
      <c r="G688" s="25">
        <v>45.949999999999996</v>
      </c>
      <c r="H688" s="25" t="s">
        <v>376</v>
      </c>
      <c r="I688" s="27" t="str">
        <f t="shared" si="10"/>
        <v>Feb</v>
      </c>
    </row>
    <row r="689" spans="1:9" x14ac:dyDescent="0.25">
      <c r="A689" s="28">
        <v>10964</v>
      </c>
      <c r="B689" s="29" t="s">
        <v>247</v>
      </c>
      <c r="C689" s="30">
        <v>43179</v>
      </c>
      <c r="D689" s="30">
        <v>43207</v>
      </c>
      <c r="E689" s="30">
        <v>43183</v>
      </c>
      <c r="F689" s="29" t="s">
        <v>646</v>
      </c>
      <c r="G689" s="29">
        <v>436.9</v>
      </c>
      <c r="H689" s="29" t="s">
        <v>376</v>
      </c>
      <c r="I689" s="31" t="str">
        <f t="shared" si="10"/>
        <v>Mar</v>
      </c>
    </row>
    <row r="690" spans="1:9" x14ac:dyDescent="0.25">
      <c r="A690" s="24">
        <v>11043</v>
      </c>
      <c r="B690" s="25" t="s">
        <v>247</v>
      </c>
      <c r="C690" s="26">
        <v>43212</v>
      </c>
      <c r="D690" s="26">
        <v>43240</v>
      </c>
      <c r="E690" s="26">
        <v>43219</v>
      </c>
      <c r="F690" s="25" t="s">
        <v>646</v>
      </c>
      <c r="G690" s="25">
        <v>44</v>
      </c>
      <c r="H690" s="25" t="s">
        <v>376</v>
      </c>
      <c r="I690" s="27" t="str">
        <f t="shared" si="10"/>
        <v>Apr</v>
      </c>
    </row>
    <row r="691" spans="1:9" x14ac:dyDescent="0.25">
      <c r="A691" s="28">
        <v>10271</v>
      </c>
      <c r="B691" s="29" t="s">
        <v>250</v>
      </c>
      <c r="C691" s="30">
        <v>42583</v>
      </c>
      <c r="D691" s="30">
        <v>42611</v>
      </c>
      <c r="E691" s="30">
        <v>42612</v>
      </c>
      <c r="F691" s="29" t="s">
        <v>646</v>
      </c>
      <c r="G691" s="29">
        <v>22.7</v>
      </c>
      <c r="H691" s="29" t="s">
        <v>377</v>
      </c>
      <c r="I691" s="31" t="str">
        <f t="shared" si="10"/>
        <v>Aug</v>
      </c>
    </row>
    <row r="692" spans="1:9" x14ac:dyDescent="0.25">
      <c r="A692" s="24">
        <v>10329</v>
      </c>
      <c r="B692" s="25" t="s">
        <v>250</v>
      </c>
      <c r="C692" s="26">
        <v>42658</v>
      </c>
      <c r="D692" s="26">
        <v>42700</v>
      </c>
      <c r="E692" s="26">
        <v>42666</v>
      </c>
      <c r="F692" s="25" t="s">
        <v>646</v>
      </c>
      <c r="G692" s="25">
        <v>958.34999999999991</v>
      </c>
      <c r="H692" s="25" t="s">
        <v>377</v>
      </c>
      <c r="I692" s="27" t="str">
        <f t="shared" si="10"/>
        <v>Oct</v>
      </c>
    </row>
    <row r="693" spans="1:9" x14ac:dyDescent="0.25">
      <c r="A693" s="28">
        <v>10349</v>
      </c>
      <c r="B693" s="29" t="s">
        <v>250</v>
      </c>
      <c r="C693" s="30">
        <v>42682</v>
      </c>
      <c r="D693" s="30">
        <v>42710</v>
      </c>
      <c r="E693" s="30">
        <v>42689</v>
      </c>
      <c r="F693" s="29" t="s">
        <v>645</v>
      </c>
      <c r="G693" s="29">
        <v>43.150000000000006</v>
      </c>
      <c r="H693" s="29" t="s">
        <v>377</v>
      </c>
      <c r="I693" s="31" t="str">
        <f t="shared" si="10"/>
        <v>Nov</v>
      </c>
    </row>
    <row r="694" spans="1:9" x14ac:dyDescent="0.25">
      <c r="A694" s="24">
        <v>10369</v>
      </c>
      <c r="B694" s="25" t="s">
        <v>250</v>
      </c>
      <c r="C694" s="26">
        <v>42706</v>
      </c>
      <c r="D694" s="26">
        <v>42734</v>
      </c>
      <c r="E694" s="26">
        <v>42713</v>
      </c>
      <c r="F694" s="25" t="s">
        <v>646</v>
      </c>
      <c r="G694" s="25">
        <v>978.40000000000009</v>
      </c>
      <c r="H694" s="25" t="s">
        <v>377</v>
      </c>
      <c r="I694" s="27" t="str">
        <f t="shared" si="10"/>
        <v>Dec</v>
      </c>
    </row>
    <row r="695" spans="1:9" x14ac:dyDescent="0.25">
      <c r="A695" s="28">
        <v>10385</v>
      </c>
      <c r="B695" s="29" t="s">
        <v>250</v>
      </c>
      <c r="C695" s="30">
        <v>42721</v>
      </c>
      <c r="D695" s="30">
        <v>42749</v>
      </c>
      <c r="E695" s="30">
        <v>42727</v>
      </c>
      <c r="F695" s="29" t="s">
        <v>646</v>
      </c>
      <c r="G695" s="29">
        <v>154.80000000000001</v>
      </c>
      <c r="H695" s="29" t="s">
        <v>377</v>
      </c>
      <c r="I695" s="31" t="str">
        <f t="shared" si="10"/>
        <v>Dec</v>
      </c>
    </row>
    <row r="696" spans="1:9" x14ac:dyDescent="0.25">
      <c r="A696" s="24">
        <v>10432</v>
      </c>
      <c r="B696" s="25" t="s">
        <v>250</v>
      </c>
      <c r="C696" s="26">
        <v>42766</v>
      </c>
      <c r="D696" s="26">
        <v>42780</v>
      </c>
      <c r="E696" s="26">
        <v>42773</v>
      </c>
      <c r="F696" s="25" t="s">
        <v>646</v>
      </c>
      <c r="G696" s="25">
        <v>21.7</v>
      </c>
      <c r="H696" s="25" t="s">
        <v>377</v>
      </c>
      <c r="I696" s="27" t="str">
        <f t="shared" si="10"/>
        <v>Jan</v>
      </c>
    </row>
    <row r="697" spans="1:9" x14ac:dyDescent="0.25">
      <c r="A697" s="28">
        <v>10756</v>
      </c>
      <c r="B697" s="29" t="s">
        <v>250</v>
      </c>
      <c r="C697" s="30">
        <v>43066</v>
      </c>
      <c r="D697" s="30">
        <v>43094</v>
      </c>
      <c r="E697" s="30">
        <v>43071</v>
      </c>
      <c r="F697" s="29" t="s">
        <v>646</v>
      </c>
      <c r="G697" s="29">
        <v>366.04999999999995</v>
      </c>
      <c r="H697" s="29" t="s">
        <v>377</v>
      </c>
      <c r="I697" s="31" t="str">
        <f t="shared" si="10"/>
        <v>Nov</v>
      </c>
    </row>
    <row r="698" spans="1:9" x14ac:dyDescent="0.25">
      <c r="A698" s="24">
        <v>10821</v>
      </c>
      <c r="B698" s="25" t="s">
        <v>250</v>
      </c>
      <c r="C698" s="26">
        <v>43108</v>
      </c>
      <c r="D698" s="26">
        <v>43136</v>
      </c>
      <c r="E698" s="26">
        <v>43115</v>
      </c>
      <c r="F698" s="25" t="s">
        <v>645</v>
      </c>
      <c r="G698" s="25">
        <v>183.4</v>
      </c>
      <c r="H698" s="25" t="s">
        <v>377</v>
      </c>
      <c r="I698" s="27" t="str">
        <f t="shared" si="10"/>
        <v>Jan</v>
      </c>
    </row>
    <row r="699" spans="1:9" x14ac:dyDescent="0.25">
      <c r="A699" s="28">
        <v>10974</v>
      </c>
      <c r="B699" s="29" t="s">
        <v>250</v>
      </c>
      <c r="C699" s="30">
        <v>43184</v>
      </c>
      <c r="D699" s="30">
        <v>43198</v>
      </c>
      <c r="E699" s="30">
        <v>43193</v>
      </c>
      <c r="F699" s="29" t="s">
        <v>647</v>
      </c>
      <c r="G699" s="29">
        <v>64.800000000000011</v>
      </c>
      <c r="H699" s="29" t="s">
        <v>377</v>
      </c>
      <c r="I699" s="31" t="str">
        <f t="shared" si="10"/>
        <v>Mar</v>
      </c>
    </row>
    <row r="700" spans="1:9" x14ac:dyDescent="0.25">
      <c r="A700" s="24">
        <v>10252</v>
      </c>
      <c r="B700" s="25" t="s">
        <v>254</v>
      </c>
      <c r="C700" s="26">
        <v>42560</v>
      </c>
      <c r="D700" s="26">
        <v>42588</v>
      </c>
      <c r="E700" s="26">
        <v>42562</v>
      </c>
      <c r="F700" s="25" t="s">
        <v>646</v>
      </c>
      <c r="G700" s="25">
        <v>256.5</v>
      </c>
      <c r="H700" s="25" t="s">
        <v>378</v>
      </c>
      <c r="I700" s="27" t="str">
        <f t="shared" si="10"/>
        <v>Jul</v>
      </c>
    </row>
    <row r="701" spans="1:9" x14ac:dyDescent="0.25">
      <c r="A701" s="28">
        <v>10302</v>
      </c>
      <c r="B701" s="29" t="s">
        <v>254</v>
      </c>
      <c r="C701" s="30">
        <v>42623</v>
      </c>
      <c r="D701" s="30">
        <v>42651</v>
      </c>
      <c r="E701" s="30">
        <v>42652</v>
      </c>
      <c r="F701" s="29" t="s">
        <v>646</v>
      </c>
      <c r="G701" s="29">
        <v>31.349999999999998</v>
      </c>
      <c r="H701" s="29" t="s">
        <v>378</v>
      </c>
      <c r="I701" s="31" t="str">
        <f t="shared" si="10"/>
        <v>Sep</v>
      </c>
    </row>
    <row r="702" spans="1:9" x14ac:dyDescent="0.25">
      <c r="A702" s="24">
        <v>10458</v>
      </c>
      <c r="B702" s="25" t="s">
        <v>254</v>
      </c>
      <c r="C702" s="26">
        <v>42792</v>
      </c>
      <c r="D702" s="26">
        <v>42820</v>
      </c>
      <c r="E702" s="26">
        <v>42798</v>
      </c>
      <c r="F702" s="25" t="s">
        <v>647</v>
      </c>
      <c r="G702" s="25">
        <v>735.3</v>
      </c>
      <c r="H702" s="25" t="s">
        <v>378</v>
      </c>
      <c r="I702" s="27" t="str">
        <f t="shared" si="10"/>
        <v>Feb</v>
      </c>
    </row>
    <row r="703" spans="1:9" x14ac:dyDescent="0.25">
      <c r="A703" s="28">
        <v>10463</v>
      </c>
      <c r="B703" s="29" t="s">
        <v>254</v>
      </c>
      <c r="C703" s="30">
        <v>42798</v>
      </c>
      <c r="D703" s="30">
        <v>42826</v>
      </c>
      <c r="E703" s="30">
        <v>42800</v>
      </c>
      <c r="F703" s="29" t="s">
        <v>647</v>
      </c>
      <c r="G703" s="29">
        <v>73.899999999999991</v>
      </c>
      <c r="H703" s="29" t="s">
        <v>378</v>
      </c>
      <c r="I703" s="31" t="str">
        <f t="shared" si="10"/>
        <v>Mar</v>
      </c>
    </row>
    <row r="704" spans="1:9" x14ac:dyDescent="0.25">
      <c r="A704" s="24">
        <v>10475</v>
      </c>
      <c r="B704" s="25" t="s">
        <v>254</v>
      </c>
      <c r="C704" s="26">
        <v>42808</v>
      </c>
      <c r="D704" s="26">
        <v>42836</v>
      </c>
      <c r="E704" s="26">
        <v>42829</v>
      </c>
      <c r="F704" s="25" t="s">
        <v>645</v>
      </c>
      <c r="G704" s="25">
        <v>342.59999999999997</v>
      </c>
      <c r="H704" s="25" t="s">
        <v>378</v>
      </c>
      <c r="I704" s="27" t="str">
        <f t="shared" si="10"/>
        <v>Mar</v>
      </c>
    </row>
    <row r="705" spans="1:9" x14ac:dyDescent="0.25">
      <c r="A705" s="28">
        <v>10767</v>
      </c>
      <c r="B705" s="29" t="s">
        <v>254</v>
      </c>
      <c r="C705" s="30">
        <v>43074</v>
      </c>
      <c r="D705" s="30">
        <v>43102</v>
      </c>
      <c r="E705" s="30">
        <v>43084</v>
      </c>
      <c r="F705" s="29" t="s">
        <v>647</v>
      </c>
      <c r="G705" s="29">
        <v>7.95</v>
      </c>
      <c r="H705" s="29" t="s">
        <v>378</v>
      </c>
      <c r="I705" s="31" t="str">
        <f t="shared" si="10"/>
        <v>Dec</v>
      </c>
    </row>
    <row r="706" spans="1:9" x14ac:dyDescent="0.25">
      <c r="A706" s="24">
        <v>10841</v>
      </c>
      <c r="B706" s="25" t="s">
        <v>254</v>
      </c>
      <c r="C706" s="26">
        <v>43120</v>
      </c>
      <c r="D706" s="26">
        <v>43148</v>
      </c>
      <c r="E706" s="26">
        <v>43129</v>
      </c>
      <c r="F706" s="25" t="s">
        <v>646</v>
      </c>
      <c r="G706" s="25">
        <v>2121.5</v>
      </c>
      <c r="H706" s="25" t="s">
        <v>378</v>
      </c>
      <c r="I706" s="27" t="str">
        <f t="shared" si="10"/>
        <v>Jan</v>
      </c>
    </row>
    <row r="707" spans="1:9" x14ac:dyDescent="0.25">
      <c r="A707" s="28">
        <v>10846</v>
      </c>
      <c r="B707" s="29" t="s">
        <v>254</v>
      </c>
      <c r="C707" s="30">
        <v>43122</v>
      </c>
      <c r="D707" s="30">
        <v>43164</v>
      </c>
      <c r="E707" s="30">
        <v>43123</v>
      </c>
      <c r="F707" s="29" t="s">
        <v>647</v>
      </c>
      <c r="G707" s="29">
        <v>282.3</v>
      </c>
      <c r="H707" s="29" t="s">
        <v>378</v>
      </c>
      <c r="I707" s="31" t="str">
        <f t="shared" ref="I707:I770" si="11">TEXT(C707,"mmm")</f>
        <v>Jan</v>
      </c>
    </row>
    <row r="708" spans="1:9" x14ac:dyDescent="0.25">
      <c r="A708" s="24">
        <v>10885</v>
      </c>
      <c r="B708" s="25" t="s">
        <v>254</v>
      </c>
      <c r="C708" s="26">
        <v>43143</v>
      </c>
      <c r="D708" s="26">
        <v>43171</v>
      </c>
      <c r="E708" s="26">
        <v>43149</v>
      </c>
      <c r="F708" s="25" t="s">
        <v>647</v>
      </c>
      <c r="G708" s="25">
        <v>28.2</v>
      </c>
      <c r="H708" s="25" t="s">
        <v>378</v>
      </c>
      <c r="I708" s="27" t="str">
        <f t="shared" si="11"/>
        <v>Feb</v>
      </c>
    </row>
    <row r="709" spans="1:9" x14ac:dyDescent="0.25">
      <c r="A709" s="28">
        <v>10930</v>
      </c>
      <c r="B709" s="29" t="s">
        <v>254</v>
      </c>
      <c r="C709" s="30">
        <v>43165</v>
      </c>
      <c r="D709" s="30">
        <v>43207</v>
      </c>
      <c r="E709" s="30">
        <v>43177</v>
      </c>
      <c r="F709" s="29" t="s">
        <v>647</v>
      </c>
      <c r="G709" s="29">
        <v>77.75</v>
      </c>
      <c r="H709" s="29" t="s">
        <v>378</v>
      </c>
      <c r="I709" s="31" t="str">
        <f t="shared" si="11"/>
        <v>Mar</v>
      </c>
    </row>
    <row r="710" spans="1:9" x14ac:dyDescent="0.25">
      <c r="A710" s="24">
        <v>11035</v>
      </c>
      <c r="B710" s="25" t="s">
        <v>254</v>
      </c>
      <c r="C710" s="26">
        <v>43210</v>
      </c>
      <c r="D710" s="26">
        <v>43238</v>
      </c>
      <c r="E710" s="26">
        <v>43214</v>
      </c>
      <c r="F710" s="25" t="s">
        <v>646</v>
      </c>
      <c r="G710" s="25">
        <v>0.85000000000000009</v>
      </c>
      <c r="H710" s="25" t="s">
        <v>378</v>
      </c>
      <c r="I710" s="27" t="str">
        <f t="shared" si="11"/>
        <v>Apr</v>
      </c>
    </row>
    <row r="711" spans="1:9" x14ac:dyDescent="0.25">
      <c r="A711" s="28">
        <v>11038</v>
      </c>
      <c r="B711" s="29" t="s">
        <v>254</v>
      </c>
      <c r="C711" s="30">
        <v>43211</v>
      </c>
      <c r="D711" s="30">
        <v>43239</v>
      </c>
      <c r="E711" s="30">
        <v>43220</v>
      </c>
      <c r="F711" s="29" t="s">
        <v>646</v>
      </c>
      <c r="G711" s="29">
        <v>147.94999999999999</v>
      </c>
      <c r="H711" s="29" t="s">
        <v>378</v>
      </c>
      <c r="I711" s="31" t="str">
        <f t="shared" si="11"/>
        <v>Apr</v>
      </c>
    </row>
    <row r="712" spans="1:9" x14ac:dyDescent="0.25">
      <c r="A712" s="24">
        <v>10310</v>
      </c>
      <c r="B712" s="25" t="s">
        <v>257</v>
      </c>
      <c r="C712" s="26">
        <v>42633</v>
      </c>
      <c r="D712" s="26">
        <v>42661</v>
      </c>
      <c r="E712" s="26">
        <v>42640</v>
      </c>
      <c r="F712" s="25" t="s">
        <v>646</v>
      </c>
      <c r="G712" s="25">
        <v>87.6</v>
      </c>
      <c r="H712" s="25" t="s">
        <v>4</v>
      </c>
      <c r="I712" s="27" t="str">
        <f t="shared" si="11"/>
        <v>Sep</v>
      </c>
    </row>
    <row r="713" spans="1:9" x14ac:dyDescent="0.25">
      <c r="A713" s="28">
        <v>10708</v>
      </c>
      <c r="B713" s="29" t="s">
        <v>257</v>
      </c>
      <c r="C713" s="30">
        <v>43025</v>
      </c>
      <c r="D713" s="30">
        <v>43067</v>
      </c>
      <c r="E713" s="30">
        <v>43044</v>
      </c>
      <c r="F713" s="29" t="s">
        <v>646</v>
      </c>
      <c r="G713" s="29">
        <v>14.8</v>
      </c>
      <c r="H713" s="29" t="s">
        <v>4</v>
      </c>
      <c r="I713" s="31" t="str">
        <f t="shared" si="11"/>
        <v>Oct</v>
      </c>
    </row>
    <row r="714" spans="1:9" x14ac:dyDescent="0.25">
      <c r="A714" s="24">
        <v>10805</v>
      </c>
      <c r="B714" s="25" t="s">
        <v>257</v>
      </c>
      <c r="C714" s="26">
        <v>43099</v>
      </c>
      <c r="D714" s="26">
        <v>43127</v>
      </c>
      <c r="E714" s="26">
        <v>43109</v>
      </c>
      <c r="F714" s="25" t="s">
        <v>647</v>
      </c>
      <c r="G714" s="25">
        <v>1186.7</v>
      </c>
      <c r="H714" s="25" t="s">
        <v>4</v>
      </c>
      <c r="I714" s="27" t="str">
        <f t="shared" si="11"/>
        <v>Dec</v>
      </c>
    </row>
    <row r="715" spans="1:9" x14ac:dyDescent="0.25">
      <c r="A715" s="28">
        <v>10992</v>
      </c>
      <c r="B715" s="29" t="s">
        <v>257</v>
      </c>
      <c r="C715" s="30">
        <v>43191</v>
      </c>
      <c r="D715" s="30">
        <v>43219</v>
      </c>
      <c r="E715" s="30">
        <v>43193</v>
      </c>
      <c r="F715" s="29" t="s">
        <v>647</v>
      </c>
      <c r="G715" s="29">
        <v>21.349999999999998</v>
      </c>
      <c r="H715" s="29" t="s">
        <v>4</v>
      </c>
      <c r="I715" s="31" t="str">
        <f t="shared" si="11"/>
        <v>Apr</v>
      </c>
    </row>
    <row r="716" spans="1:9" x14ac:dyDescent="0.25">
      <c r="A716" s="24">
        <v>10624</v>
      </c>
      <c r="B716" s="25" t="s">
        <v>259</v>
      </c>
      <c r="C716" s="26">
        <v>42954</v>
      </c>
      <c r="D716" s="26">
        <v>42982</v>
      </c>
      <c r="E716" s="26">
        <v>42966</v>
      </c>
      <c r="F716" s="25" t="s">
        <v>646</v>
      </c>
      <c r="G716" s="25">
        <v>474</v>
      </c>
      <c r="H716" s="25" t="s">
        <v>3</v>
      </c>
      <c r="I716" s="27" t="str">
        <f t="shared" si="11"/>
        <v>Aug</v>
      </c>
    </row>
    <row r="717" spans="1:9" x14ac:dyDescent="0.25">
      <c r="A717" s="28">
        <v>10775</v>
      </c>
      <c r="B717" s="29" t="s">
        <v>259</v>
      </c>
      <c r="C717" s="30">
        <v>43081</v>
      </c>
      <c r="D717" s="30">
        <v>43109</v>
      </c>
      <c r="E717" s="30">
        <v>43095</v>
      </c>
      <c r="F717" s="29" t="s">
        <v>645</v>
      </c>
      <c r="G717" s="29">
        <v>101.25</v>
      </c>
      <c r="H717" s="29" t="s">
        <v>3</v>
      </c>
      <c r="I717" s="31" t="str">
        <f t="shared" si="11"/>
        <v>Dec</v>
      </c>
    </row>
    <row r="718" spans="1:9" x14ac:dyDescent="0.25">
      <c r="A718" s="24">
        <v>11003</v>
      </c>
      <c r="B718" s="25" t="s">
        <v>259</v>
      </c>
      <c r="C718" s="26">
        <v>43196</v>
      </c>
      <c r="D718" s="26">
        <v>43224</v>
      </c>
      <c r="E718" s="26">
        <v>43198</v>
      </c>
      <c r="F718" s="25" t="s">
        <v>647</v>
      </c>
      <c r="G718" s="25">
        <v>74.55</v>
      </c>
      <c r="H718" s="25" t="s">
        <v>3</v>
      </c>
      <c r="I718" s="27" t="str">
        <f t="shared" si="11"/>
        <v>Apr</v>
      </c>
    </row>
    <row r="719" spans="1:9" x14ac:dyDescent="0.25">
      <c r="A719" s="28">
        <v>10438</v>
      </c>
      <c r="B719" s="29" t="s">
        <v>263</v>
      </c>
      <c r="C719" s="30">
        <v>42772</v>
      </c>
      <c r="D719" s="30">
        <v>42800</v>
      </c>
      <c r="E719" s="30">
        <v>42780</v>
      </c>
      <c r="F719" s="29" t="s">
        <v>646</v>
      </c>
      <c r="G719" s="29">
        <v>41.2</v>
      </c>
      <c r="H719" s="29" t="s">
        <v>379</v>
      </c>
      <c r="I719" s="31" t="str">
        <f t="shared" si="11"/>
        <v>Feb</v>
      </c>
    </row>
    <row r="720" spans="1:9" x14ac:dyDescent="0.25">
      <c r="A720" s="24">
        <v>10446</v>
      </c>
      <c r="B720" s="25" t="s">
        <v>263</v>
      </c>
      <c r="C720" s="26">
        <v>42780</v>
      </c>
      <c r="D720" s="26">
        <v>42808</v>
      </c>
      <c r="E720" s="26">
        <v>42785</v>
      </c>
      <c r="F720" s="25" t="s">
        <v>645</v>
      </c>
      <c r="G720" s="25">
        <v>73.400000000000006</v>
      </c>
      <c r="H720" s="25" t="s">
        <v>379</v>
      </c>
      <c r="I720" s="27" t="str">
        <f t="shared" si="11"/>
        <v>Feb</v>
      </c>
    </row>
    <row r="721" spans="1:9" x14ac:dyDescent="0.25">
      <c r="A721" s="28">
        <v>10548</v>
      </c>
      <c r="B721" s="29" t="s">
        <v>263</v>
      </c>
      <c r="C721" s="30">
        <v>42881</v>
      </c>
      <c r="D721" s="30">
        <v>42909</v>
      </c>
      <c r="E721" s="30">
        <v>42888</v>
      </c>
      <c r="F721" s="29" t="s">
        <v>646</v>
      </c>
      <c r="G721" s="29">
        <v>7.1499999999999995</v>
      </c>
      <c r="H721" s="29" t="s">
        <v>379</v>
      </c>
      <c r="I721" s="31" t="str">
        <f t="shared" si="11"/>
        <v>May</v>
      </c>
    </row>
    <row r="722" spans="1:9" x14ac:dyDescent="0.25">
      <c r="A722" s="24">
        <v>10608</v>
      </c>
      <c r="B722" s="25" t="s">
        <v>263</v>
      </c>
      <c r="C722" s="26">
        <v>42939</v>
      </c>
      <c r="D722" s="26">
        <v>42967</v>
      </c>
      <c r="E722" s="26">
        <v>42948</v>
      </c>
      <c r="F722" s="25" t="s">
        <v>646</v>
      </c>
      <c r="G722" s="25">
        <v>138.94999999999999</v>
      </c>
      <c r="H722" s="25" t="s">
        <v>379</v>
      </c>
      <c r="I722" s="27" t="str">
        <f t="shared" si="11"/>
        <v>Jul</v>
      </c>
    </row>
    <row r="723" spans="1:9" x14ac:dyDescent="0.25">
      <c r="A723" s="28">
        <v>10967</v>
      </c>
      <c r="B723" s="29" t="s">
        <v>263</v>
      </c>
      <c r="C723" s="30">
        <v>43182</v>
      </c>
      <c r="D723" s="30">
        <v>43210</v>
      </c>
      <c r="E723" s="30">
        <v>43192</v>
      </c>
      <c r="F723" s="29" t="s">
        <v>646</v>
      </c>
      <c r="G723" s="29">
        <v>311.10000000000002</v>
      </c>
      <c r="H723" s="29" t="s">
        <v>379</v>
      </c>
      <c r="I723" s="31" t="str">
        <f t="shared" si="11"/>
        <v>Mar</v>
      </c>
    </row>
    <row r="724" spans="1:9" x14ac:dyDescent="0.25">
      <c r="A724" s="24">
        <v>10276</v>
      </c>
      <c r="B724" s="25" t="s">
        <v>266</v>
      </c>
      <c r="C724" s="26">
        <v>42590</v>
      </c>
      <c r="D724" s="26">
        <v>42604</v>
      </c>
      <c r="E724" s="26">
        <v>42596</v>
      </c>
      <c r="F724" s="25" t="s">
        <v>647</v>
      </c>
      <c r="G724" s="25">
        <v>69.2</v>
      </c>
      <c r="H724" s="25" t="s">
        <v>2</v>
      </c>
      <c r="I724" s="27" t="str">
        <f t="shared" si="11"/>
        <v>Aug</v>
      </c>
    </row>
    <row r="725" spans="1:9" x14ac:dyDescent="0.25">
      <c r="A725" s="28">
        <v>10293</v>
      </c>
      <c r="B725" s="29" t="s">
        <v>266</v>
      </c>
      <c r="C725" s="30">
        <v>42611</v>
      </c>
      <c r="D725" s="30">
        <v>42639</v>
      </c>
      <c r="E725" s="30">
        <v>42624</v>
      </c>
      <c r="F725" s="29" t="s">
        <v>647</v>
      </c>
      <c r="G725" s="29">
        <v>105.9</v>
      </c>
      <c r="H725" s="29" t="s">
        <v>2</v>
      </c>
      <c r="I725" s="31" t="str">
        <f t="shared" si="11"/>
        <v>Aug</v>
      </c>
    </row>
    <row r="726" spans="1:9" x14ac:dyDescent="0.25">
      <c r="A726" s="24">
        <v>10304</v>
      </c>
      <c r="B726" s="25" t="s">
        <v>266</v>
      </c>
      <c r="C726" s="26">
        <v>42625</v>
      </c>
      <c r="D726" s="26">
        <v>42653</v>
      </c>
      <c r="E726" s="26">
        <v>42630</v>
      </c>
      <c r="F726" s="25" t="s">
        <v>646</v>
      </c>
      <c r="G726" s="25">
        <v>318.95</v>
      </c>
      <c r="H726" s="25" t="s">
        <v>2</v>
      </c>
      <c r="I726" s="27" t="str">
        <f t="shared" si="11"/>
        <v>Sep</v>
      </c>
    </row>
    <row r="727" spans="1:9" x14ac:dyDescent="0.25">
      <c r="A727" s="28">
        <v>10319</v>
      </c>
      <c r="B727" s="29" t="s">
        <v>266</v>
      </c>
      <c r="C727" s="30">
        <v>42645</v>
      </c>
      <c r="D727" s="30">
        <v>42673</v>
      </c>
      <c r="E727" s="30">
        <v>42654</v>
      </c>
      <c r="F727" s="29" t="s">
        <v>647</v>
      </c>
      <c r="G727" s="29">
        <v>322.5</v>
      </c>
      <c r="H727" s="29" t="s">
        <v>2</v>
      </c>
      <c r="I727" s="31" t="str">
        <f t="shared" si="11"/>
        <v>Oct</v>
      </c>
    </row>
    <row r="728" spans="1:9" x14ac:dyDescent="0.25">
      <c r="A728" s="24">
        <v>10518</v>
      </c>
      <c r="B728" s="25" t="s">
        <v>266</v>
      </c>
      <c r="C728" s="26">
        <v>42850</v>
      </c>
      <c r="D728" s="26">
        <v>42864</v>
      </c>
      <c r="E728" s="26">
        <v>42860</v>
      </c>
      <c r="F728" s="25" t="s">
        <v>646</v>
      </c>
      <c r="G728" s="25">
        <v>1090.75</v>
      </c>
      <c r="H728" s="25" t="s">
        <v>2</v>
      </c>
      <c r="I728" s="27" t="str">
        <f t="shared" si="11"/>
        <v>Apr</v>
      </c>
    </row>
    <row r="729" spans="1:9" x14ac:dyDescent="0.25">
      <c r="A729" s="28">
        <v>10576</v>
      </c>
      <c r="B729" s="29" t="s">
        <v>266</v>
      </c>
      <c r="C729" s="30">
        <v>42909</v>
      </c>
      <c r="D729" s="30">
        <v>42923</v>
      </c>
      <c r="E729" s="30">
        <v>42916</v>
      </c>
      <c r="F729" s="29" t="s">
        <v>647</v>
      </c>
      <c r="G729" s="29">
        <v>92.8</v>
      </c>
      <c r="H729" s="29" t="s">
        <v>2</v>
      </c>
      <c r="I729" s="31" t="str">
        <f t="shared" si="11"/>
        <v>Jun</v>
      </c>
    </row>
    <row r="730" spans="1:9" x14ac:dyDescent="0.25">
      <c r="A730" s="24">
        <v>10676</v>
      </c>
      <c r="B730" s="25" t="s">
        <v>266</v>
      </c>
      <c r="C730" s="26">
        <v>43000</v>
      </c>
      <c r="D730" s="26">
        <v>43028</v>
      </c>
      <c r="E730" s="26">
        <v>43007</v>
      </c>
      <c r="F730" s="25" t="s">
        <v>646</v>
      </c>
      <c r="G730" s="25">
        <v>10.049999999999999</v>
      </c>
      <c r="H730" s="25" t="s">
        <v>2</v>
      </c>
      <c r="I730" s="27" t="str">
        <f t="shared" si="11"/>
        <v>Sep</v>
      </c>
    </row>
    <row r="731" spans="1:9" x14ac:dyDescent="0.25">
      <c r="A731" s="28">
        <v>10842</v>
      </c>
      <c r="B731" s="29" t="s">
        <v>266</v>
      </c>
      <c r="C731" s="30">
        <v>43120</v>
      </c>
      <c r="D731" s="30">
        <v>43148</v>
      </c>
      <c r="E731" s="30">
        <v>43129</v>
      </c>
      <c r="F731" s="29" t="s">
        <v>647</v>
      </c>
      <c r="G731" s="29">
        <v>272.10000000000002</v>
      </c>
      <c r="H731" s="29" t="s">
        <v>2</v>
      </c>
      <c r="I731" s="31" t="str">
        <f t="shared" si="11"/>
        <v>Jan</v>
      </c>
    </row>
    <row r="732" spans="1:9" x14ac:dyDescent="0.25">
      <c r="A732" s="24">
        <v>10915</v>
      </c>
      <c r="B732" s="25" t="s">
        <v>266</v>
      </c>
      <c r="C732" s="26">
        <v>43158</v>
      </c>
      <c r="D732" s="26">
        <v>43186</v>
      </c>
      <c r="E732" s="26">
        <v>43161</v>
      </c>
      <c r="F732" s="25" t="s">
        <v>646</v>
      </c>
      <c r="G732" s="25">
        <v>17.549999999999997</v>
      </c>
      <c r="H732" s="25" t="s">
        <v>2</v>
      </c>
      <c r="I732" s="27" t="str">
        <f t="shared" si="11"/>
        <v>Feb</v>
      </c>
    </row>
    <row r="733" spans="1:9" x14ac:dyDescent="0.25">
      <c r="A733" s="28">
        <v>11069</v>
      </c>
      <c r="B733" s="29" t="s">
        <v>266</v>
      </c>
      <c r="C733" s="30">
        <v>43224</v>
      </c>
      <c r="D733" s="30">
        <v>43252</v>
      </c>
      <c r="E733" s="30">
        <v>43226</v>
      </c>
      <c r="F733" s="29" t="s">
        <v>646</v>
      </c>
      <c r="G733" s="29">
        <v>78.349999999999994</v>
      </c>
      <c r="H733" s="29" t="s">
        <v>2</v>
      </c>
      <c r="I733" s="31" t="str">
        <f t="shared" si="11"/>
        <v>May</v>
      </c>
    </row>
    <row r="734" spans="1:9" x14ac:dyDescent="0.25">
      <c r="A734" s="24">
        <v>10249</v>
      </c>
      <c r="B734" s="25" t="s">
        <v>268</v>
      </c>
      <c r="C734" s="26">
        <v>42556</v>
      </c>
      <c r="D734" s="26">
        <v>42598</v>
      </c>
      <c r="E734" s="26">
        <v>42561</v>
      </c>
      <c r="F734" s="25" t="s">
        <v>645</v>
      </c>
      <c r="G734" s="25">
        <v>58.05</v>
      </c>
      <c r="H734" s="25" t="s">
        <v>380</v>
      </c>
      <c r="I734" s="27" t="str">
        <f t="shared" si="11"/>
        <v>Jul</v>
      </c>
    </row>
    <row r="735" spans="1:9" x14ac:dyDescent="0.25">
      <c r="A735" s="28">
        <v>10292</v>
      </c>
      <c r="B735" s="29" t="s">
        <v>268</v>
      </c>
      <c r="C735" s="30">
        <v>42610</v>
      </c>
      <c r="D735" s="30">
        <v>42638</v>
      </c>
      <c r="E735" s="30">
        <v>42615</v>
      </c>
      <c r="F735" s="29" t="s">
        <v>646</v>
      </c>
      <c r="G735" s="29">
        <v>6.75</v>
      </c>
      <c r="H735" s="29" t="s">
        <v>380</v>
      </c>
      <c r="I735" s="31" t="str">
        <f t="shared" si="11"/>
        <v>Aug</v>
      </c>
    </row>
    <row r="736" spans="1:9" x14ac:dyDescent="0.25">
      <c r="A736" s="24">
        <v>10496</v>
      </c>
      <c r="B736" s="25" t="s">
        <v>268</v>
      </c>
      <c r="C736" s="26">
        <v>42829</v>
      </c>
      <c r="D736" s="26">
        <v>42857</v>
      </c>
      <c r="E736" s="26">
        <v>42832</v>
      </c>
      <c r="F736" s="25" t="s">
        <v>646</v>
      </c>
      <c r="G736" s="25">
        <v>233.85000000000002</v>
      </c>
      <c r="H736" s="25" t="s">
        <v>380</v>
      </c>
      <c r="I736" s="27" t="str">
        <f t="shared" si="11"/>
        <v>Apr</v>
      </c>
    </row>
    <row r="737" spans="1:9" x14ac:dyDescent="0.25">
      <c r="A737" s="28">
        <v>10606</v>
      </c>
      <c r="B737" s="29" t="s">
        <v>268</v>
      </c>
      <c r="C737" s="30">
        <v>42938</v>
      </c>
      <c r="D737" s="30">
        <v>42966</v>
      </c>
      <c r="E737" s="30">
        <v>42947</v>
      </c>
      <c r="F737" s="29" t="s">
        <v>647</v>
      </c>
      <c r="G737" s="29">
        <v>397</v>
      </c>
      <c r="H737" s="29" t="s">
        <v>380</v>
      </c>
      <c r="I737" s="31" t="str">
        <f t="shared" si="11"/>
        <v>Jul</v>
      </c>
    </row>
    <row r="738" spans="1:9" x14ac:dyDescent="0.25">
      <c r="A738" s="24">
        <v>10830</v>
      </c>
      <c r="B738" s="25" t="s">
        <v>268</v>
      </c>
      <c r="C738" s="26">
        <v>43113</v>
      </c>
      <c r="D738" s="26">
        <v>43155</v>
      </c>
      <c r="E738" s="26">
        <v>43121</v>
      </c>
      <c r="F738" s="25" t="s">
        <v>646</v>
      </c>
      <c r="G738" s="25">
        <v>409.15</v>
      </c>
      <c r="H738" s="25" t="s">
        <v>380</v>
      </c>
      <c r="I738" s="27" t="str">
        <f t="shared" si="11"/>
        <v>Jan</v>
      </c>
    </row>
    <row r="739" spans="1:9" x14ac:dyDescent="0.25">
      <c r="A739" s="28">
        <v>10834</v>
      </c>
      <c r="B739" s="29" t="s">
        <v>268</v>
      </c>
      <c r="C739" s="30">
        <v>43115</v>
      </c>
      <c r="D739" s="30">
        <v>43143</v>
      </c>
      <c r="E739" s="30">
        <v>43119</v>
      </c>
      <c r="F739" s="29" t="s">
        <v>647</v>
      </c>
      <c r="G739" s="29">
        <v>148.9</v>
      </c>
      <c r="H739" s="29" t="s">
        <v>380</v>
      </c>
      <c r="I739" s="31" t="str">
        <f t="shared" si="11"/>
        <v>Jan</v>
      </c>
    </row>
    <row r="740" spans="1:9" x14ac:dyDescent="0.25">
      <c r="A740" s="24">
        <v>10839</v>
      </c>
      <c r="B740" s="25" t="s">
        <v>268</v>
      </c>
      <c r="C740" s="26">
        <v>43119</v>
      </c>
      <c r="D740" s="26">
        <v>43147</v>
      </c>
      <c r="E740" s="26">
        <v>43122</v>
      </c>
      <c r="F740" s="25" t="s">
        <v>647</v>
      </c>
      <c r="G740" s="25">
        <v>177.15</v>
      </c>
      <c r="H740" s="25" t="s">
        <v>380</v>
      </c>
      <c r="I740" s="27" t="str">
        <f t="shared" si="11"/>
        <v>Jan</v>
      </c>
    </row>
    <row r="741" spans="1:9" x14ac:dyDescent="0.25">
      <c r="A741" s="28">
        <v>10574</v>
      </c>
      <c r="B741" s="29" t="s">
        <v>271</v>
      </c>
      <c r="C741" s="30">
        <v>42905</v>
      </c>
      <c r="D741" s="30">
        <v>42933</v>
      </c>
      <c r="E741" s="30">
        <v>42916</v>
      </c>
      <c r="F741" s="29" t="s">
        <v>646</v>
      </c>
      <c r="G741" s="29">
        <v>188</v>
      </c>
      <c r="H741" s="29" t="s">
        <v>381</v>
      </c>
      <c r="I741" s="31" t="str">
        <f t="shared" si="11"/>
        <v>Jun</v>
      </c>
    </row>
    <row r="742" spans="1:9" x14ac:dyDescent="0.25">
      <c r="A742" s="24">
        <v>10577</v>
      </c>
      <c r="B742" s="25" t="s">
        <v>271</v>
      </c>
      <c r="C742" s="26">
        <v>42909</v>
      </c>
      <c r="D742" s="26">
        <v>42951</v>
      </c>
      <c r="E742" s="26">
        <v>42916</v>
      </c>
      <c r="F742" s="25" t="s">
        <v>646</v>
      </c>
      <c r="G742" s="25">
        <v>127.05</v>
      </c>
      <c r="H742" s="25" t="s">
        <v>381</v>
      </c>
      <c r="I742" s="27" t="str">
        <f t="shared" si="11"/>
        <v>Jun</v>
      </c>
    </row>
    <row r="743" spans="1:9" x14ac:dyDescent="0.25">
      <c r="A743" s="28">
        <v>10822</v>
      </c>
      <c r="B743" s="29" t="s">
        <v>271</v>
      </c>
      <c r="C743" s="30">
        <v>43108</v>
      </c>
      <c r="D743" s="30">
        <v>43136</v>
      </c>
      <c r="E743" s="30">
        <v>43116</v>
      </c>
      <c r="F743" s="29" t="s">
        <v>647</v>
      </c>
      <c r="G743" s="29">
        <v>35</v>
      </c>
      <c r="H743" s="29" t="s">
        <v>381</v>
      </c>
      <c r="I743" s="31" t="str">
        <f t="shared" si="11"/>
        <v>Jan</v>
      </c>
    </row>
    <row r="744" spans="1:9" x14ac:dyDescent="0.25">
      <c r="A744" s="24">
        <v>10367</v>
      </c>
      <c r="B744" s="25" t="s">
        <v>274</v>
      </c>
      <c r="C744" s="26">
        <v>42702</v>
      </c>
      <c r="D744" s="26">
        <v>42730</v>
      </c>
      <c r="E744" s="26">
        <v>42706</v>
      </c>
      <c r="F744" s="25" t="s">
        <v>647</v>
      </c>
      <c r="G744" s="25">
        <v>67.75</v>
      </c>
      <c r="H744" s="25" t="s">
        <v>382</v>
      </c>
      <c r="I744" s="27" t="str">
        <f t="shared" si="11"/>
        <v>Nov</v>
      </c>
    </row>
    <row r="745" spans="1:9" x14ac:dyDescent="0.25">
      <c r="A745" s="28">
        <v>10399</v>
      </c>
      <c r="B745" s="29" t="s">
        <v>274</v>
      </c>
      <c r="C745" s="30">
        <v>42735</v>
      </c>
      <c r="D745" s="30">
        <v>42749</v>
      </c>
      <c r="E745" s="30">
        <v>42743</v>
      </c>
      <c r="F745" s="29" t="s">
        <v>647</v>
      </c>
      <c r="G745" s="29">
        <v>136.80000000000001</v>
      </c>
      <c r="H745" s="29" t="s">
        <v>382</v>
      </c>
      <c r="I745" s="31" t="str">
        <f t="shared" si="11"/>
        <v>Dec</v>
      </c>
    </row>
    <row r="746" spans="1:9" x14ac:dyDescent="0.25">
      <c r="A746" s="24">
        <v>10465</v>
      </c>
      <c r="B746" s="25" t="s">
        <v>274</v>
      </c>
      <c r="C746" s="26">
        <v>42799</v>
      </c>
      <c r="D746" s="26">
        <v>42827</v>
      </c>
      <c r="E746" s="26">
        <v>42808</v>
      </c>
      <c r="F746" s="25" t="s">
        <v>647</v>
      </c>
      <c r="G746" s="25">
        <v>725.19999999999993</v>
      </c>
      <c r="H746" s="25" t="s">
        <v>382</v>
      </c>
      <c r="I746" s="27" t="str">
        <f t="shared" si="11"/>
        <v>Mar</v>
      </c>
    </row>
    <row r="747" spans="1:9" x14ac:dyDescent="0.25">
      <c r="A747" s="28">
        <v>10591</v>
      </c>
      <c r="B747" s="29" t="s">
        <v>274</v>
      </c>
      <c r="C747" s="30">
        <v>42923</v>
      </c>
      <c r="D747" s="30">
        <v>42937</v>
      </c>
      <c r="E747" s="30">
        <v>42932</v>
      </c>
      <c r="F747" s="29" t="s">
        <v>645</v>
      </c>
      <c r="G747" s="29">
        <v>279.60000000000002</v>
      </c>
      <c r="H747" s="29" t="s">
        <v>382</v>
      </c>
      <c r="I747" s="31" t="str">
        <f t="shared" si="11"/>
        <v>Jul</v>
      </c>
    </row>
    <row r="748" spans="1:9" x14ac:dyDescent="0.25">
      <c r="A748" s="24">
        <v>10602</v>
      </c>
      <c r="B748" s="25" t="s">
        <v>274</v>
      </c>
      <c r="C748" s="26">
        <v>42933</v>
      </c>
      <c r="D748" s="26">
        <v>42961</v>
      </c>
      <c r="E748" s="26">
        <v>42938</v>
      </c>
      <c r="F748" s="25" t="s">
        <v>646</v>
      </c>
      <c r="G748" s="25">
        <v>14.6</v>
      </c>
      <c r="H748" s="25" t="s">
        <v>382</v>
      </c>
      <c r="I748" s="27" t="str">
        <f t="shared" si="11"/>
        <v>Jul</v>
      </c>
    </row>
    <row r="749" spans="1:9" x14ac:dyDescent="0.25">
      <c r="A749" s="28">
        <v>10688</v>
      </c>
      <c r="B749" s="29" t="s">
        <v>274</v>
      </c>
      <c r="C749" s="30">
        <v>43009</v>
      </c>
      <c r="D749" s="30">
        <v>43023</v>
      </c>
      <c r="E749" s="30">
        <v>43015</v>
      </c>
      <c r="F749" s="29" t="s">
        <v>646</v>
      </c>
      <c r="G749" s="29">
        <v>1495.4499999999998</v>
      </c>
      <c r="H749" s="29" t="s">
        <v>382</v>
      </c>
      <c r="I749" s="31" t="str">
        <f t="shared" si="11"/>
        <v>Oct</v>
      </c>
    </row>
    <row r="750" spans="1:9" x14ac:dyDescent="0.25">
      <c r="A750" s="24">
        <v>10744</v>
      </c>
      <c r="B750" s="25" t="s">
        <v>274</v>
      </c>
      <c r="C750" s="26">
        <v>43056</v>
      </c>
      <c r="D750" s="26">
        <v>43084</v>
      </c>
      <c r="E750" s="26">
        <v>43063</v>
      </c>
      <c r="F750" s="25" t="s">
        <v>645</v>
      </c>
      <c r="G750" s="25">
        <v>345.95</v>
      </c>
      <c r="H750" s="25" t="s">
        <v>382</v>
      </c>
      <c r="I750" s="27" t="str">
        <f t="shared" si="11"/>
        <v>Nov</v>
      </c>
    </row>
    <row r="751" spans="1:9" x14ac:dyDescent="0.25">
      <c r="A751" s="28">
        <v>10769</v>
      </c>
      <c r="B751" s="29" t="s">
        <v>274</v>
      </c>
      <c r="C751" s="30">
        <v>43077</v>
      </c>
      <c r="D751" s="30">
        <v>43105</v>
      </c>
      <c r="E751" s="30">
        <v>43081</v>
      </c>
      <c r="F751" s="29" t="s">
        <v>645</v>
      </c>
      <c r="G751" s="29">
        <v>325.3</v>
      </c>
      <c r="H751" s="29" t="s">
        <v>382</v>
      </c>
      <c r="I751" s="31" t="str">
        <f t="shared" si="11"/>
        <v>Dec</v>
      </c>
    </row>
    <row r="752" spans="1:9" x14ac:dyDescent="0.25">
      <c r="A752" s="24">
        <v>10921</v>
      </c>
      <c r="B752" s="25" t="s">
        <v>274</v>
      </c>
      <c r="C752" s="26">
        <v>43162</v>
      </c>
      <c r="D752" s="26">
        <v>43204</v>
      </c>
      <c r="E752" s="26">
        <v>43168</v>
      </c>
      <c r="F752" s="25" t="s">
        <v>645</v>
      </c>
      <c r="G752" s="25">
        <v>882.4</v>
      </c>
      <c r="H752" s="25" t="s">
        <v>382</v>
      </c>
      <c r="I752" s="27" t="str">
        <f t="shared" si="11"/>
        <v>Mar</v>
      </c>
    </row>
    <row r="753" spans="1:9" x14ac:dyDescent="0.25">
      <c r="A753" s="28">
        <v>10946</v>
      </c>
      <c r="B753" s="29" t="s">
        <v>274</v>
      </c>
      <c r="C753" s="30">
        <v>43171</v>
      </c>
      <c r="D753" s="30">
        <v>43199</v>
      </c>
      <c r="E753" s="30">
        <v>43178</v>
      </c>
      <c r="F753" s="29" t="s">
        <v>646</v>
      </c>
      <c r="G753" s="29">
        <v>136</v>
      </c>
      <c r="H753" s="29" t="s">
        <v>382</v>
      </c>
      <c r="I753" s="31" t="str">
        <f t="shared" si="11"/>
        <v>Mar</v>
      </c>
    </row>
    <row r="754" spans="1:9" x14ac:dyDescent="0.25">
      <c r="A754" s="24">
        <v>10994</v>
      </c>
      <c r="B754" s="25" t="s">
        <v>274</v>
      </c>
      <c r="C754" s="26">
        <v>43192</v>
      </c>
      <c r="D754" s="26">
        <v>43206</v>
      </c>
      <c r="E754" s="26">
        <v>43199</v>
      </c>
      <c r="F754" s="25" t="s">
        <v>647</v>
      </c>
      <c r="G754" s="25">
        <v>327.64999999999998</v>
      </c>
      <c r="H754" s="25" t="s">
        <v>382</v>
      </c>
      <c r="I754" s="27" t="str">
        <f t="shared" si="11"/>
        <v>Apr</v>
      </c>
    </row>
    <row r="755" spans="1:9" x14ac:dyDescent="0.25">
      <c r="A755" s="28">
        <v>10251</v>
      </c>
      <c r="B755" s="29" t="s">
        <v>277</v>
      </c>
      <c r="C755" s="30">
        <v>42559</v>
      </c>
      <c r="D755" s="30">
        <v>42587</v>
      </c>
      <c r="E755" s="30">
        <v>42566</v>
      </c>
      <c r="F755" s="29" t="s">
        <v>645</v>
      </c>
      <c r="G755" s="29">
        <v>206.70000000000002</v>
      </c>
      <c r="H755" s="29" t="s">
        <v>383</v>
      </c>
      <c r="I755" s="31" t="str">
        <f t="shared" si="11"/>
        <v>Jul</v>
      </c>
    </row>
    <row r="756" spans="1:9" x14ac:dyDescent="0.25">
      <c r="A756" s="24">
        <v>10334</v>
      </c>
      <c r="B756" s="25" t="s">
        <v>277</v>
      </c>
      <c r="C756" s="26">
        <v>42664</v>
      </c>
      <c r="D756" s="26">
        <v>42692</v>
      </c>
      <c r="E756" s="26">
        <v>42671</v>
      </c>
      <c r="F756" s="25" t="s">
        <v>646</v>
      </c>
      <c r="G756" s="25">
        <v>42.800000000000004</v>
      </c>
      <c r="H756" s="25" t="s">
        <v>383</v>
      </c>
      <c r="I756" s="27" t="str">
        <f t="shared" si="11"/>
        <v>Oct</v>
      </c>
    </row>
    <row r="757" spans="1:9" x14ac:dyDescent="0.25">
      <c r="A757" s="28">
        <v>10450</v>
      </c>
      <c r="B757" s="29" t="s">
        <v>277</v>
      </c>
      <c r="C757" s="30">
        <v>42785</v>
      </c>
      <c r="D757" s="30">
        <v>42813</v>
      </c>
      <c r="E757" s="30">
        <v>42805</v>
      </c>
      <c r="F757" s="29" t="s">
        <v>646</v>
      </c>
      <c r="G757" s="29">
        <v>36.150000000000006</v>
      </c>
      <c r="H757" s="29" t="s">
        <v>383</v>
      </c>
      <c r="I757" s="31" t="str">
        <f t="shared" si="11"/>
        <v>Feb</v>
      </c>
    </row>
    <row r="758" spans="1:9" x14ac:dyDescent="0.25">
      <c r="A758" s="24">
        <v>10459</v>
      </c>
      <c r="B758" s="25" t="s">
        <v>277</v>
      </c>
      <c r="C758" s="26">
        <v>42793</v>
      </c>
      <c r="D758" s="26">
        <v>42821</v>
      </c>
      <c r="E758" s="26">
        <v>42794</v>
      </c>
      <c r="F758" s="25" t="s">
        <v>646</v>
      </c>
      <c r="G758" s="25">
        <v>125.45</v>
      </c>
      <c r="H758" s="25" t="s">
        <v>383</v>
      </c>
      <c r="I758" s="27" t="str">
        <f t="shared" si="11"/>
        <v>Feb</v>
      </c>
    </row>
    <row r="759" spans="1:9" x14ac:dyDescent="0.25">
      <c r="A759" s="28">
        <v>10478</v>
      </c>
      <c r="B759" s="29" t="s">
        <v>277</v>
      </c>
      <c r="C759" s="30">
        <v>42812</v>
      </c>
      <c r="D759" s="30">
        <v>42826</v>
      </c>
      <c r="E759" s="30">
        <v>42820</v>
      </c>
      <c r="F759" s="29" t="s">
        <v>647</v>
      </c>
      <c r="G759" s="29">
        <v>24.049999999999997</v>
      </c>
      <c r="H759" s="29" t="s">
        <v>383</v>
      </c>
      <c r="I759" s="31" t="str">
        <f t="shared" si="11"/>
        <v>Mar</v>
      </c>
    </row>
    <row r="760" spans="1:9" x14ac:dyDescent="0.25">
      <c r="A760" s="24">
        <v>10546</v>
      </c>
      <c r="B760" s="25" t="s">
        <v>277</v>
      </c>
      <c r="C760" s="26">
        <v>42878</v>
      </c>
      <c r="D760" s="26">
        <v>42906</v>
      </c>
      <c r="E760" s="26">
        <v>42882</v>
      </c>
      <c r="F760" s="25" t="s">
        <v>647</v>
      </c>
      <c r="G760" s="25">
        <v>973.6</v>
      </c>
      <c r="H760" s="25" t="s">
        <v>383</v>
      </c>
      <c r="I760" s="27" t="str">
        <f t="shared" si="11"/>
        <v>May</v>
      </c>
    </row>
    <row r="761" spans="1:9" x14ac:dyDescent="0.25">
      <c r="A761" s="28">
        <v>10806</v>
      </c>
      <c r="B761" s="29" t="s">
        <v>277</v>
      </c>
      <c r="C761" s="30">
        <v>43100</v>
      </c>
      <c r="D761" s="30">
        <v>43128</v>
      </c>
      <c r="E761" s="30">
        <v>43105</v>
      </c>
      <c r="F761" s="29" t="s">
        <v>646</v>
      </c>
      <c r="G761" s="29">
        <v>110.55</v>
      </c>
      <c r="H761" s="29" t="s">
        <v>383</v>
      </c>
      <c r="I761" s="31" t="str">
        <f t="shared" si="11"/>
        <v>Dec</v>
      </c>
    </row>
    <row r="762" spans="1:9" x14ac:dyDescent="0.25">
      <c r="A762" s="24">
        <v>10814</v>
      </c>
      <c r="B762" s="25" t="s">
        <v>277</v>
      </c>
      <c r="C762" s="26">
        <v>43105</v>
      </c>
      <c r="D762" s="26">
        <v>43133</v>
      </c>
      <c r="E762" s="26">
        <v>43114</v>
      </c>
      <c r="F762" s="25" t="s">
        <v>647</v>
      </c>
      <c r="G762" s="25">
        <v>654.70000000000005</v>
      </c>
      <c r="H762" s="25" t="s">
        <v>383</v>
      </c>
      <c r="I762" s="27" t="str">
        <f t="shared" si="11"/>
        <v>Jan</v>
      </c>
    </row>
    <row r="763" spans="1:9" x14ac:dyDescent="0.25">
      <c r="A763" s="28">
        <v>10843</v>
      </c>
      <c r="B763" s="29" t="s">
        <v>277</v>
      </c>
      <c r="C763" s="30">
        <v>43121</v>
      </c>
      <c r="D763" s="30">
        <v>43149</v>
      </c>
      <c r="E763" s="30">
        <v>43126</v>
      </c>
      <c r="F763" s="29" t="s">
        <v>646</v>
      </c>
      <c r="G763" s="29">
        <v>46.3</v>
      </c>
      <c r="H763" s="29" t="s">
        <v>383</v>
      </c>
      <c r="I763" s="31" t="str">
        <f t="shared" si="11"/>
        <v>Jan</v>
      </c>
    </row>
    <row r="764" spans="1:9" x14ac:dyDescent="0.25">
      <c r="A764" s="24">
        <v>10850</v>
      </c>
      <c r="B764" s="25" t="s">
        <v>277</v>
      </c>
      <c r="C764" s="26">
        <v>43123</v>
      </c>
      <c r="D764" s="26">
        <v>43165</v>
      </c>
      <c r="E764" s="26">
        <v>43130</v>
      </c>
      <c r="F764" s="25" t="s">
        <v>645</v>
      </c>
      <c r="G764" s="25">
        <v>245.95</v>
      </c>
      <c r="H764" s="25" t="s">
        <v>383</v>
      </c>
      <c r="I764" s="27" t="str">
        <f t="shared" si="11"/>
        <v>Jan</v>
      </c>
    </row>
    <row r="765" spans="1:9" x14ac:dyDescent="0.25">
      <c r="A765" s="28">
        <v>10274</v>
      </c>
      <c r="B765" s="29" t="s">
        <v>280</v>
      </c>
      <c r="C765" s="30">
        <v>42588</v>
      </c>
      <c r="D765" s="30">
        <v>42616</v>
      </c>
      <c r="E765" s="30">
        <v>42598</v>
      </c>
      <c r="F765" s="29" t="s">
        <v>645</v>
      </c>
      <c r="G765" s="29">
        <v>30.049999999999997</v>
      </c>
      <c r="H765" s="29" t="s">
        <v>384</v>
      </c>
      <c r="I765" s="31" t="str">
        <f t="shared" si="11"/>
        <v>Aug</v>
      </c>
    </row>
    <row r="766" spans="1:9" x14ac:dyDescent="0.25">
      <c r="A766" s="24">
        <v>10295</v>
      </c>
      <c r="B766" s="25" t="s">
        <v>280</v>
      </c>
      <c r="C766" s="26">
        <v>42615</v>
      </c>
      <c r="D766" s="26">
        <v>42643</v>
      </c>
      <c r="E766" s="26">
        <v>42623</v>
      </c>
      <c r="F766" s="25" t="s">
        <v>646</v>
      </c>
      <c r="G766" s="25">
        <v>5.75</v>
      </c>
      <c r="H766" s="25" t="s">
        <v>384</v>
      </c>
      <c r="I766" s="27" t="str">
        <f t="shared" si="11"/>
        <v>Sep</v>
      </c>
    </row>
    <row r="767" spans="1:9" x14ac:dyDescent="0.25">
      <c r="A767" s="28">
        <v>10737</v>
      </c>
      <c r="B767" s="29" t="s">
        <v>280</v>
      </c>
      <c r="C767" s="30">
        <v>43050</v>
      </c>
      <c r="D767" s="30">
        <v>43078</v>
      </c>
      <c r="E767" s="30">
        <v>43057</v>
      </c>
      <c r="F767" s="29" t="s">
        <v>646</v>
      </c>
      <c r="G767" s="29">
        <v>38.950000000000003</v>
      </c>
      <c r="H767" s="29" t="s">
        <v>384</v>
      </c>
      <c r="I767" s="31" t="str">
        <f t="shared" si="11"/>
        <v>Nov</v>
      </c>
    </row>
    <row r="768" spans="1:9" x14ac:dyDescent="0.25">
      <c r="A768" s="24">
        <v>10739</v>
      </c>
      <c r="B768" s="25" t="s">
        <v>280</v>
      </c>
      <c r="C768" s="26">
        <v>43051</v>
      </c>
      <c r="D768" s="26">
        <v>43079</v>
      </c>
      <c r="E768" s="26">
        <v>43056</v>
      </c>
      <c r="F768" s="25" t="s">
        <v>647</v>
      </c>
      <c r="G768" s="25">
        <v>55.4</v>
      </c>
      <c r="H768" s="25" t="s">
        <v>384</v>
      </c>
      <c r="I768" s="27" t="str">
        <f t="shared" si="11"/>
        <v>Nov</v>
      </c>
    </row>
    <row r="769" spans="1:9" x14ac:dyDescent="0.25">
      <c r="A769" s="28">
        <v>10301</v>
      </c>
      <c r="B769" s="29" t="s">
        <v>283</v>
      </c>
      <c r="C769" s="30">
        <v>42622</v>
      </c>
      <c r="D769" s="30">
        <v>42650</v>
      </c>
      <c r="E769" s="30">
        <v>42630</v>
      </c>
      <c r="F769" s="29" t="s">
        <v>646</v>
      </c>
      <c r="G769" s="29">
        <v>225.39999999999998</v>
      </c>
      <c r="H769" s="29" t="s">
        <v>385</v>
      </c>
      <c r="I769" s="31" t="str">
        <f t="shared" si="11"/>
        <v>Sep</v>
      </c>
    </row>
    <row r="770" spans="1:9" x14ac:dyDescent="0.25">
      <c r="A770" s="24">
        <v>10312</v>
      </c>
      <c r="B770" s="25" t="s">
        <v>283</v>
      </c>
      <c r="C770" s="26">
        <v>42636</v>
      </c>
      <c r="D770" s="26">
        <v>42664</v>
      </c>
      <c r="E770" s="26">
        <v>42646</v>
      </c>
      <c r="F770" s="25" t="s">
        <v>646</v>
      </c>
      <c r="G770" s="25">
        <v>201.29999999999998</v>
      </c>
      <c r="H770" s="25" t="s">
        <v>385</v>
      </c>
      <c r="I770" s="27" t="str">
        <f t="shared" si="11"/>
        <v>Sep</v>
      </c>
    </row>
    <row r="771" spans="1:9" x14ac:dyDescent="0.25">
      <c r="A771" s="28">
        <v>10348</v>
      </c>
      <c r="B771" s="29" t="s">
        <v>283</v>
      </c>
      <c r="C771" s="30">
        <v>42681</v>
      </c>
      <c r="D771" s="30">
        <v>42709</v>
      </c>
      <c r="E771" s="30">
        <v>42689</v>
      </c>
      <c r="F771" s="29" t="s">
        <v>646</v>
      </c>
      <c r="G771" s="29">
        <v>3.9000000000000004</v>
      </c>
      <c r="H771" s="29" t="s">
        <v>385</v>
      </c>
      <c r="I771" s="31" t="str">
        <f t="shared" ref="I771:I831" si="12">TEXT(C771,"mmm")</f>
        <v>Nov</v>
      </c>
    </row>
    <row r="772" spans="1:9" x14ac:dyDescent="0.25">
      <c r="A772" s="24">
        <v>10356</v>
      </c>
      <c r="B772" s="25" t="s">
        <v>283</v>
      </c>
      <c r="C772" s="26">
        <v>42692</v>
      </c>
      <c r="D772" s="26">
        <v>42720</v>
      </c>
      <c r="E772" s="26">
        <v>42701</v>
      </c>
      <c r="F772" s="25" t="s">
        <v>646</v>
      </c>
      <c r="G772" s="25">
        <v>183.55</v>
      </c>
      <c r="H772" s="25" t="s">
        <v>385</v>
      </c>
      <c r="I772" s="27" t="str">
        <f t="shared" si="12"/>
        <v>Nov</v>
      </c>
    </row>
    <row r="773" spans="1:9" x14ac:dyDescent="0.25">
      <c r="A773" s="28">
        <v>10513</v>
      </c>
      <c r="B773" s="29" t="s">
        <v>283</v>
      </c>
      <c r="C773" s="30">
        <v>42847</v>
      </c>
      <c r="D773" s="30">
        <v>42889</v>
      </c>
      <c r="E773" s="30">
        <v>42853</v>
      </c>
      <c r="F773" s="29" t="s">
        <v>645</v>
      </c>
      <c r="G773" s="29">
        <v>528.25</v>
      </c>
      <c r="H773" s="29" t="s">
        <v>385</v>
      </c>
      <c r="I773" s="31" t="str">
        <f t="shared" si="12"/>
        <v>Apr</v>
      </c>
    </row>
    <row r="774" spans="1:9" x14ac:dyDescent="0.25">
      <c r="A774" s="24">
        <v>10632</v>
      </c>
      <c r="B774" s="25" t="s">
        <v>283</v>
      </c>
      <c r="C774" s="26">
        <v>42961</v>
      </c>
      <c r="D774" s="26">
        <v>42989</v>
      </c>
      <c r="E774" s="26">
        <v>42966</v>
      </c>
      <c r="F774" s="25" t="s">
        <v>645</v>
      </c>
      <c r="G774" s="25">
        <v>206.9</v>
      </c>
      <c r="H774" s="25" t="s">
        <v>385</v>
      </c>
      <c r="I774" s="27" t="str">
        <f t="shared" si="12"/>
        <v>Aug</v>
      </c>
    </row>
    <row r="775" spans="1:9" x14ac:dyDescent="0.25">
      <c r="A775" s="28">
        <v>10640</v>
      </c>
      <c r="B775" s="29" t="s">
        <v>283</v>
      </c>
      <c r="C775" s="30">
        <v>42968</v>
      </c>
      <c r="D775" s="30">
        <v>42996</v>
      </c>
      <c r="E775" s="30">
        <v>42975</v>
      </c>
      <c r="F775" s="29" t="s">
        <v>645</v>
      </c>
      <c r="G775" s="29">
        <v>117.75</v>
      </c>
      <c r="H775" s="29" t="s">
        <v>385</v>
      </c>
      <c r="I775" s="31" t="str">
        <f t="shared" si="12"/>
        <v>Aug</v>
      </c>
    </row>
    <row r="776" spans="1:9" x14ac:dyDescent="0.25">
      <c r="A776" s="24">
        <v>10651</v>
      </c>
      <c r="B776" s="25" t="s">
        <v>283</v>
      </c>
      <c r="C776" s="26">
        <v>42979</v>
      </c>
      <c r="D776" s="26">
        <v>43007</v>
      </c>
      <c r="E776" s="26">
        <v>42989</v>
      </c>
      <c r="F776" s="25" t="s">
        <v>646</v>
      </c>
      <c r="G776" s="25">
        <v>103</v>
      </c>
      <c r="H776" s="25" t="s">
        <v>385</v>
      </c>
      <c r="I776" s="27" t="str">
        <f t="shared" si="12"/>
        <v>Sep</v>
      </c>
    </row>
    <row r="777" spans="1:9" x14ac:dyDescent="0.25">
      <c r="A777" s="28">
        <v>10668</v>
      </c>
      <c r="B777" s="29" t="s">
        <v>283</v>
      </c>
      <c r="C777" s="30">
        <v>42993</v>
      </c>
      <c r="D777" s="30">
        <v>43021</v>
      </c>
      <c r="E777" s="30">
        <v>43001</v>
      </c>
      <c r="F777" s="29" t="s">
        <v>646</v>
      </c>
      <c r="G777" s="29">
        <v>236.1</v>
      </c>
      <c r="H777" s="29" t="s">
        <v>385</v>
      </c>
      <c r="I777" s="31" t="str">
        <f t="shared" si="12"/>
        <v>Sep</v>
      </c>
    </row>
    <row r="778" spans="1:9" x14ac:dyDescent="0.25">
      <c r="A778" s="24">
        <v>11046</v>
      </c>
      <c r="B778" s="25" t="s">
        <v>283</v>
      </c>
      <c r="C778" s="26">
        <v>43213</v>
      </c>
      <c r="D778" s="26">
        <v>43241</v>
      </c>
      <c r="E778" s="26">
        <v>43214</v>
      </c>
      <c r="F778" s="25" t="s">
        <v>646</v>
      </c>
      <c r="G778" s="25">
        <v>358.2</v>
      </c>
      <c r="H778" s="25" t="s">
        <v>385</v>
      </c>
      <c r="I778" s="27" t="str">
        <f t="shared" si="12"/>
        <v>Apr</v>
      </c>
    </row>
    <row r="779" spans="1:9" x14ac:dyDescent="0.25">
      <c r="A779" s="28">
        <v>10266</v>
      </c>
      <c r="B779" s="29" t="s">
        <v>286</v>
      </c>
      <c r="C779" s="30">
        <v>42577</v>
      </c>
      <c r="D779" s="30">
        <v>42619</v>
      </c>
      <c r="E779" s="30">
        <v>42582</v>
      </c>
      <c r="F779" s="29" t="s">
        <v>647</v>
      </c>
      <c r="G779" s="29">
        <v>128.65</v>
      </c>
      <c r="H779" s="29" t="s">
        <v>386</v>
      </c>
      <c r="I779" s="31" t="str">
        <f t="shared" si="12"/>
        <v>Jul</v>
      </c>
    </row>
    <row r="780" spans="1:9" x14ac:dyDescent="0.25">
      <c r="A780" s="24">
        <v>10270</v>
      </c>
      <c r="B780" s="25" t="s">
        <v>286</v>
      </c>
      <c r="C780" s="26">
        <v>42583</v>
      </c>
      <c r="D780" s="26">
        <v>42611</v>
      </c>
      <c r="E780" s="26">
        <v>42584</v>
      </c>
      <c r="F780" s="25" t="s">
        <v>645</v>
      </c>
      <c r="G780" s="25">
        <v>682.69999999999993</v>
      </c>
      <c r="H780" s="25" t="s">
        <v>386</v>
      </c>
      <c r="I780" s="27" t="str">
        <f t="shared" si="12"/>
        <v>Aug</v>
      </c>
    </row>
    <row r="781" spans="1:9" x14ac:dyDescent="0.25">
      <c r="A781" s="28">
        <v>10320</v>
      </c>
      <c r="B781" s="29" t="s">
        <v>286</v>
      </c>
      <c r="C781" s="30">
        <v>42646</v>
      </c>
      <c r="D781" s="30">
        <v>42660</v>
      </c>
      <c r="E781" s="30">
        <v>42661</v>
      </c>
      <c r="F781" s="29" t="s">
        <v>647</v>
      </c>
      <c r="G781" s="29">
        <v>172.85</v>
      </c>
      <c r="H781" s="29" t="s">
        <v>386</v>
      </c>
      <c r="I781" s="31" t="str">
        <f t="shared" si="12"/>
        <v>Oct</v>
      </c>
    </row>
    <row r="782" spans="1:9" x14ac:dyDescent="0.25">
      <c r="A782" s="24">
        <v>10333</v>
      </c>
      <c r="B782" s="25" t="s">
        <v>286</v>
      </c>
      <c r="C782" s="26">
        <v>42661</v>
      </c>
      <c r="D782" s="26">
        <v>42689</v>
      </c>
      <c r="E782" s="26">
        <v>42668</v>
      </c>
      <c r="F782" s="25" t="s">
        <v>647</v>
      </c>
      <c r="G782" s="25">
        <v>2.9499999999999997</v>
      </c>
      <c r="H782" s="25" t="s">
        <v>386</v>
      </c>
      <c r="I782" s="27" t="str">
        <f t="shared" si="12"/>
        <v>Oct</v>
      </c>
    </row>
    <row r="783" spans="1:9" x14ac:dyDescent="0.25">
      <c r="A783" s="28">
        <v>10412</v>
      </c>
      <c r="B783" s="29" t="s">
        <v>286</v>
      </c>
      <c r="C783" s="30">
        <v>42748</v>
      </c>
      <c r="D783" s="30">
        <v>42776</v>
      </c>
      <c r="E783" s="30">
        <v>42750</v>
      </c>
      <c r="F783" s="29" t="s">
        <v>646</v>
      </c>
      <c r="G783" s="29">
        <v>18.850000000000001</v>
      </c>
      <c r="H783" s="29" t="s">
        <v>386</v>
      </c>
      <c r="I783" s="31" t="str">
        <f t="shared" si="12"/>
        <v>Jan</v>
      </c>
    </row>
    <row r="784" spans="1:9" x14ac:dyDescent="0.25">
      <c r="A784" s="24">
        <v>10416</v>
      </c>
      <c r="B784" s="25" t="s">
        <v>286</v>
      </c>
      <c r="C784" s="26">
        <v>42751</v>
      </c>
      <c r="D784" s="26">
        <v>42779</v>
      </c>
      <c r="E784" s="26">
        <v>42762</v>
      </c>
      <c r="F784" s="25" t="s">
        <v>647</v>
      </c>
      <c r="G784" s="25">
        <v>113.6</v>
      </c>
      <c r="H784" s="25" t="s">
        <v>386</v>
      </c>
      <c r="I784" s="27" t="str">
        <f t="shared" si="12"/>
        <v>Jan</v>
      </c>
    </row>
    <row r="785" spans="1:9" x14ac:dyDescent="0.25">
      <c r="A785" s="28">
        <v>10437</v>
      </c>
      <c r="B785" s="29" t="s">
        <v>286</v>
      </c>
      <c r="C785" s="30">
        <v>42771</v>
      </c>
      <c r="D785" s="30">
        <v>42799</v>
      </c>
      <c r="E785" s="30">
        <v>42778</v>
      </c>
      <c r="F785" s="29" t="s">
        <v>645</v>
      </c>
      <c r="G785" s="29">
        <v>99.85</v>
      </c>
      <c r="H785" s="29" t="s">
        <v>386</v>
      </c>
      <c r="I785" s="31" t="str">
        <f t="shared" si="12"/>
        <v>Feb</v>
      </c>
    </row>
    <row r="786" spans="1:9" x14ac:dyDescent="0.25">
      <c r="A786" s="24">
        <v>10455</v>
      </c>
      <c r="B786" s="25" t="s">
        <v>286</v>
      </c>
      <c r="C786" s="26">
        <v>42790</v>
      </c>
      <c r="D786" s="26">
        <v>42832</v>
      </c>
      <c r="E786" s="26">
        <v>42797</v>
      </c>
      <c r="F786" s="25" t="s">
        <v>646</v>
      </c>
      <c r="G786" s="25">
        <v>902.25</v>
      </c>
      <c r="H786" s="25" t="s">
        <v>386</v>
      </c>
      <c r="I786" s="27" t="str">
        <f t="shared" si="12"/>
        <v>Feb</v>
      </c>
    </row>
    <row r="787" spans="1:9" x14ac:dyDescent="0.25">
      <c r="A787" s="28">
        <v>10526</v>
      </c>
      <c r="B787" s="29" t="s">
        <v>286</v>
      </c>
      <c r="C787" s="30">
        <v>42860</v>
      </c>
      <c r="D787" s="30">
        <v>42888</v>
      </c>
      <c r="E787" s="30">
        <v>42870</v>
      </c>
      <c r="F787" s="29" t="s">
        <v>646</v>
      </c>
      <c r="G787" s="29">
        <v>292.95000000000005</v>
      </c>
      <c r="H787" s="29" t="s">
        <v>386</v>
      </c>
      <c r="I787" s="31" t="str">
        <f t="shared" si="12"/>
        <v>May</v>
      </c>
    </row>
    <row r="788" spans="1:9" x14ac:dyDescent="0.25">
      <c r="A788" s="24">
        <v>10553</v>
      </c>
      <c r="B788" s="25" t="s">
        <v>286</v>
      </c>
      <c r="C788" s="26">
        <v>42885</v>
      </c>
      <c r="D788" s="26">
        <v>42913</v>
      </c>
      <c r="E788" s="26">
        <v>42889</v>
      </c>
      <c r="F788" s="25" t="s">
        <v>646</v>
      </c>
      <c r="G788" s="25">
        <v>747.45</v>
      </c>
      <c r="H788" s="25" t="s">
        <v>386</v>
      </c>
      <c r="I788" s="27" t="str">
        <f t="shared" si="12"/>
        <v>May</v>
      </c>
    </row>
    <row r="789" spans="1:9" x14ac:dyDescent="0.25">
      <c r="A789" s="28">
        <v>10583</v>
      </c>
      <c r="B789" s="29" t="s">
        <v>286</v>
      </c>
      <c r="C789" s="30">
        <v>42916</v>
      </c>
      <c r="D789" s="30">
        <v>42944</v>
      </c>
      <c r="E789" s="30">
        <v>42920</v>
      </c>
      <c r="F789" s="29" t="s">
        <v>646</v>
      </c>
      <c r="G789" s="29">
        <v>36.4</v>
      </c>
      <c r="H789" s="29" t="s">
        <v>386</v>
      </c>
      <c r="I789" s="31" t="str">
        <f t="shared" si="12"/>
        <v>Jun</v>
      </c>
    </row>
    <row r="790" spans="1:9" x14ac:dyDescent="0.25">
      <c r="A790" s="24">
        <v>10636</v>
      </c>
      <c r="B790" s="25" t="s">
        <v>286</v>
      </c>
      <c r="C790" s="26">
        <v>42966</v>
      </c>
      <c r="D790" s="26">
        <v>42994</v>
      </c>
      <c r="E790" s="26">
        <v>42973</v>
      </c>
      <c r="F790" s="25" t="s">
        <v>645</v>
      </c>
      <c r="G790" s="25">
        <v>5.75</v>
      </c>
      <c r="H790" s="25" t="s">
        <v>386</v>
      </c>
      <c r="I790" s="27" t="str">
        <f t="shared" si="12"/>
        <v>Aug</v>
      </c>
    </row>
    <row r="791" spans="1:9" x14ac:dyDescent="0.25">
      <c r="A791" s="28">
        <v>10750</v>
      </c>
      <c r="B791" s="29" t="s">
        <v>286</v>
      </c>
      <c r="C791" s="30">
        <v>43060</v>
      </c>
      <c r="D791" s="30">
        <v>43088</v>
      </c>
      <c r="E791" s="30">
        <v>43063</v>
      </c>
      <c r="F791" s="29" t="s">
        <v>645</v>
      </c>
      <c r="G791" s="29">
        <v>396.5</v>
      </c>
      <c r="H791" s="29" t="s">
        <v>386</v>
      </c>
      <c r="I791" s="31" t="str">
        <f t="shared" si="12"/>
        <v>Nov</v>
      </c>
    </row>
    <row r="792" spans="1:9" x14ac:dyDescent="0.25">
      <c r="A792" s="24">
        <v>10781</v>
      </c>
      <c r="B792" s="25" t="s">
        <v>286</v>
      </c>
      <c r="C792" s="26">
        <v>43086</v>
      </c>
      <c r="D792" s="26">
        <v>43114</v>
      </c>
      <c r="E792" s="26">
        <v>43088</v>
      </c>
      <c r="F792" s="25" t="s">
        <v>647</v>
      </c>
      <c r="G792" s="25">
        <v>365.79999999999995</v>
      </c>
      <c r="H792" s="25" t="s">
        <v>386</v>
      </c>
      <c r="I792" s="27" t="str">
        <f t="shared" si="12"/>
        <v>Dec</v>
      </c>
    </row>
    <row r="793" spans="1:9" x14ac:dyDescent="0.25">
      <c r="A793" s="28">
        <v>11025</v>
      </c>
      <c r="B793" s="29" t="s">
        <v>286</v>
      </c>
      <c r="C793" s="30">
        <v>43205</v>
      </c>
      <c r="D793" s="30">
        <v>43233</v>
      </c>
      <c r="E793" s="30">
        <v>43214</v>
      </c>
      <c r="F793" s="29" t="s">
        <v>647</v>
      </c>
      <c r="G793" s="29">
        <v>145.85000000000002</v>
      </c>
      <c r="H793" s="29" t="s">
        <v>386</v>
      </c>
      <c r="I793" s="31" t="str">
        <f t="shared" si="12"/>
        <v>Apr</v>
      </c>
    </row>
    <row r="794" spans="1:9" x14ac:dyDescent="0.25">
      <c r="A794" s="24">
        <v>10256</v>
      </c>
      <c r="B794" s="25" t="s">
        <v>288</v>
      </c>
      <c r="C794" s="26">
        <v>42566</v>
      </c>
      <c r="D794" s="26">
        <v>42594</v>
      </c>
      <c r="E794" s="26">
        <v>42568</v>
      </c>
      <c r="F794" s="25" t="s">
        <v>646</v>
      </c>
      <c r="G794" s="25">
        <v>69.850000000000009</v>
      </c>
      <c r="H794" s="25" t="s">
        <v>387</v>
      </c>
      <c r="I794" s="27" t="str">
        <f t="shared" si="12"/>
        <v>Jul</v>
      </c>
    </row>
    <row r="795" spans="1:9" x14ac:dyDescent="0.25">
      <c r="A795" s="28">
        <v>10420</v>
      </c>
      <c r="B795" s="29" t="s">
        <v>288</v>
      </c>
      <c r="C795" s="30">
        <v>42756</v>
      </c>
      <c r="D795" s="30">
        <v>42784</v>
      </c>
      <c r="E795" s="30">
        <v>42762</v>
      </c>
      <c r="F795" s="29" t="s">
        <v>645</v>
      </c>
      <c r="G795" s="29">
        <v>220.6</v>
      </c>
      <c r="H795" s="29" t="s">
        <v>387</v>
      </c>
      <c r="I795" s="31" t="str">
        <f t="shared" si="12"/>
        <v>Jan</v>
      </c>
    </row>
    <row r="796" spans="1:9" x14ac:dyDescent="0.25">
      <c r="A796" s="24">
        <v>10585</v>
      </c>
      <c r="B796" s="25" t="s">
        <v>288</v>
      </c>
      <c r="C796" s="26">
        <v>42917</v>
      </c>
      <c r="D796" s="26">
        <v>42945</v>
      </c>
      <c r="E796" s="26">
        <v>42926</v>
      </c>
      <c r="F796" s="25" t="s">
        <v>645</v>
      </c>
      <c r="G796" s="25">
        <v>67.05</v>
      </c>
      <c r="H796" s="25" t="s">
        <v>387</v>
      </c>
      <c r="I796" s="27" t="str">
        <f t="shared" si="12"/>
        <v>Jul</v>
      </c>
    </row>
    <row r="797" spans="1:9" x14ac:dyDescent="0.25">
      <c r="A797" s="28">
        <v>10644</v>
      </c>
      <c r="B797" s="29" t="s">
        <v>288</v>
      </c>
      <c r="C797" s="30">
        <v>42972</v>
      </c>
      <c r="D797" s="30">
        <v>43000</v>
      </c>
      <c r="E797" s="30">
        <v>42979</v>
      </c>
      <c r="F797" s="29" t="s">
        <v>646</v>
      </c>
      <c r="G797" s="29">
        <v>0.70000000000000007</v>
      </c>
      <c r="H797" s="29" t="s">
        <v>387</v>
      </c>
      <c r="I797" s="31" t="str">
        <f t="shared" si="12"/>
        <v>Aug</v>
      </c>
    </row>
    <row r="798" spans="1:9" x14ac:dyDescent="0.25">
      <c r="A798" s="24">
        <v>10803</v>
      </c>
      <c r="B798" s="25" t="s">
        <v>288</v>
      </c>
      <c r="C798" s="26">
        <v>43099</v>
      </c>
      <c r="D798" s="26">
        <v>43127</v>
      </c>
      <c r="E798" s="26">
        <v>43106</v>
      </c>
      <c r="F798" s="25" t="s">
        <v>645</v>
      </c>
      <c r="G798" s="25">
        <v>276.14999999999998</v>
      </c>
      <c r="H798" s="25" t="s">
        <v>387</v>
      </c>
      <c r="I798" s="27" t="str">
        <f t="shared" si="12"/>
        <v>Dec</v>
      </c>
    </row>
    <row r="799" spans="1:9" x14ac:dyDescent="0.25">
      <c r="A799" s="28">
        <v>10809</v>
      </c>
      <c r="B799" s="29" t="s">
        <v>288</v>
      </c>
      <c r="C799" s="30">
        <v>43101</v>
      </c>
      <c r="D799" s="30">
        <v>43129</v>
      </c>
      <c r="E799" s="30">
        <v>43107</v>
      </c>
      <c r="F799" s="29" t="s">
        <v>645</v>
      </c>
      <c r="G799" s="29">
        <v>24.35</v>
      </c>
      <c r="H799" s="29" t="s">
        <v>387</v>
      </c>
      <c r="I799" s="31" t="str">
        <f t="shared" si="12"/>
        <v>Jan</v>
      </c>
    </row>
    <row r="800" spans="1:9" x14ac:dyDescent="0.25">
      <c r="A800" s="24">
        <v>10900</v>
      </c>
      <c r="B800" s="25" t="s">
        <v>288</v>
      </c>
      <c r="C800" s="26">
        <v>43151</v>
      </c>
      <c r="D800" s="26">
        <v>43179</v>
      </c>
      <c r="E800" s="26">
        <v>43163</v>
      </c>
      <c r="F800" s="25" t="s">
        <v>646</v>
      </c>
      <c r="G800" s="25">
        <v>8.2999999999999989</v>
      </c>
      <c r="H800" s="25" t="s">
        <v>387</v>
      </c>
      <c r="I800" s="27" t="str">
        <f t="shared" si="12"/>
        <v>Feb</v>
      </c>
    </row>
    <row r="801" spans="1:9" x14ac:dyDescent="0.25">
      <c r="A801" s="28">
        <v>10905</v>
      </c>
      <c r="B801" s="29" t="s">
        <v>288</v>
      </c>
      <c r="C801" s="30">
        <v>43155</v>
      </c>
      <c r="D801" s="30">
        <v>43183</v>
      </c>
      <c r="E801" s="30">
        <v>43165</v>
      </c>
      <c r="F801" s="29" t="s">
        <v>646</v>
      </c>
      <c r="G801" s="29">
        <v>68.600000000000009</v>
      </c>
      <c r="H801" s="29" t="s">
        <v>387</v>
      </c>
      <c r="I801" s="31" t="str">
        <f t="shared" si="12"/>
        <v>Feb</v>
      </c>
    </row>
    <row r="802" spans="1:9" x14ac:dyDescent="0.25">
      <c r="A802" s="24">
        <v>10935</v>
      </c>
      <c r="B802" s="25" t="s">
        <v>288</v>
      </c>
      <c r="C802" s="26">
        <v>43168</v>
      </c>
      <c r="D802" s="26">
        <v>43196</v>
      </c>
      <c r="E802" s="26">
        <v>43177</v>
      </c>
      <c r="F802" s="25" t="s">
        <v>647</v>
      </c>
      <c r="G802" s="25">
        <v>237.95000000000002</v>
      </c>
      <c r="H802" s="25" t="s">
        <v>387</v>
      </c>
      <c r="I802" s="27" t="str">
        <f t="shared" si="12"/>
        <v>Mar</v>
      </c>
    </row>
    <row r="803" spans="1:9" x14ac:dyDescent="0.25">
      <c r="A803" s="28">
        <v>10269</v>
      </c>
      <c r="B803" s="29" t="s">
        <v>290</v>
      </c>
      <c r="C803" s="30">
        <v>42582</v>
      </c>
      <c r="D803" s="30">
        <v>42596</v>
      </c>
      <c r="E803" s="30">
        <v>42591</v>
      </c>
      <c r="F803" s="29" t="s">
        <v>645</v>
      </c>
      <c r="G803" s="29">
        <v>22.799999999999997</v>
      </c>
      <c r="H803" s="29" t="s">
        <v>1</v>
      </c>
      <c r="I803" s="31" t="str">
        <f t="shared" si="12"/>
        <v>Jul</v>
      </c>
    </row>
    <row r="804" spans="1:9" x14ac:dyDescent="0.25">
      <c r="A804" s="24">
        <v>10344</v>
      </c>
      <c r="B804" s="25" t="s">
        <v>290</v>
      </c>
      <c r="C804" s="26">
        <v>42675</v>
      </c>
      <c r="D804" s="26">
        <v>42703</v>
      </c>
      <c r="E804" s="26">
        <v>42679</v>
      </c>
      <c r="F804" s="25" t="s">
        <v>646</v>
      </c>
      <c r="G804" s="25">
        <v>116.44999999999999</v>
      </c>
      <c r="H804" s="25" t="s">
        <v>1</v>
      </c>
      <c r="I804" s="27" t="str">
        <f t="shared" si="12"/>
        <v>Nov</v>
      </c>
    </row>
    <row r="805" spans="1:9" x14ac:dyDescent="0.25">
      <c r="A805" s="28">
        <v>10469</v>
      </c>
      <c r="B805" s="29" t="s">
        <v>290</v>
      </c>
      <c r="C805" s="30">
        <v>42804</v>
      </c>
      <c r="D805" s="30">
        <v>42832</v>
      </c>
      <c r="E805" s="30">
        <v>42808</v>
      </c>
      <c r="F805" s="29" t="s">
        <v>645</v>
      </c>
      <c r="G805" s="29">
        <v>300.89999999999998</v>
      </c>
      <c r="H805" s="29" t="s">
        <v>1</v>
      </c>
      <c r="I805" s="31" t="str">
        <f t="shared" si="12"/>
        <v>Mar</v>
      </c>
    </row>
    <row r="806" spans="1:9" x14ac:dyDescent="0.25">
      <c r="A806" s="24">
        <v>10483</v>
      </c>
      <c r="B806" s="25" t="s">
        <v>290</v>
      </c>
      <c r="C806" s="26">
        <v>42818</v>
      </c>
      <c r="D806" s="26">
        <v>42846</v>
      </c>
      <c r="E806" s="26">
        <v>42850</v>
      </c>
      <c r="F806" s="25" t="s">
        <v>646</v>
      </c>
      <c r="G806" s="25">
        <v>76.399999999999991</v>
      </c>
      <c r="H806" s="25" t="s">
        <v>1</v>
      </c>
      <c r="I806" s="27" t="str">
        <f t="shared" si="12"/>
        <v>Mar</v>
      </c>
    </row>
    <row r="807" spans="1:9" x14ac:dyDescent="0.25">
      <c r="A807" s="28">
        <v>10504</v>
      </c>
      <c r="B807" s="29" t="s">
        <v>290</v>
      </c>
      <c r="C807" s="30">
        <v>42836</v>
      </c>
      <c r="D807" s="30">
        <v>42864</v>
      </c>
      <c r="E807" s="30">
        <v>42843</v>
      </c>
      <c r="F807" s="29" t="s">
        <v>647</v>
      </c>
      <c r="G807" s="29">
        <v>295.65000000000003</v>
      </c>
      <c r="H807" s="29" t="s">
        <v>1</v>
      </c>
      <c r="I807" s="31" t="str">
        <f t="shared" si="12"/>
        <v>Apr</v>
      </c>
    </row>
    <row r="808" spans="1:9" x14ac:dyDescent="0.25">
      <c r="A808" s="24">
        <v>10596</v>
      </c>
      <c r="B808" s="25" t="s">
        <v>290</v>
      </c>
      <c r="C808" s="26">
        <v>42927</v>
      </c>
      <c r="D808" s="26">
        <v>42955</v>
      </c>
      <c r="E808" s="26">
        <v>42959</v>
      </c>
      <c r="F808" s="25" t="s">
        <v>645</v>
      </c>
      <c r="G808" s="25">
        <v>81.7</v>
      </c>
      <c r="H808" s="25" t="s">
        <v>1</v>
      </c>
      <c r="I808" s="27" t="str">
        <f t="shared" si="12"/>
        <v>Jul</v>
      </c>
    </row>
    <row r="809" spans="1:9" x14ac:dyDescent="0.25">
      <c r="A809" s="28">
        <v>10693</v>
      </c>
      <c r="B809" s="29" t="s">
        <v>290</v>
      </c>
      <c r="C809" s="30">
        <v>43014</v>
      </c>
      <c r="D809" s="30">
        <v>43028</v>
      </c>
      <c r="E809" s="30">
        <v>43018</v>
      </c>
      <c r="F809" s="29" t="s">
        <v>647</v>
      </c>
      <c r="G809" s="29">
        <v>696.7</v>
      </c>
      <c r="H809" s="29" t="s">
        <v>1</v>
      </c>
      <c r="I809" s="31" t="str">
        <f t="shared" si="12"/>
        <v>Oct</v>
      </c>
    </row>
    <row r="810" spans="1:9" x14ac:dyDescent="0.25">
      <c r="A810" s="24">
        <v>10696</v>
      </c>
      <c r="B810" s="25" t="s">
        <v>290</v>
      </c>
      <c r="C810" s="26">
        <v>43016</v>
      </c>
      <c r="D810" s="26">
        <v>43058</v>
      </c>
      <c r="E810" s="26">
        <v>43022</v>
      </c>
      <c r="F810" s="25" t="s">
        <v>647</v>
      </c>
      <c r="G810" s="25">
        <v>512.75</v>
      </c>
      <c r="H810" s="25" t="s">
        <v>1</v>
      </c>
      <c r="I810" s="27" t="str">
        <f t="shared" si="12"/>
        <v>Oct</v>
      </c>
    </row>
    <row r="811" spans="1:9" x14ac:dyDescent="0.25">
      <c r="A811" s="28">
        <v>10723</v>
      </c>
      <c r="B811" s="29" t="s">
        <v>290</v>
      </c>
      <c r="C811" s="30">
        <v>43038</v>
      </c>
      <c r="D811" s="30">
        <v>43066</v>
      </c>
      <c r="E811" s="30">
        <v>43064</v>
      </c>
      <c r="F811" s="29" t="s">
        <v>645</v>
      </c>
      <c r="G811" s="29">
        <v>108.6</v>
      </c>
      <c r="H811" s="29" t="s">
        <v>1</v>
      </c>
      <c r="I811" s="31" t="str">
        <f t="shared" si="12"/>
        <v>Oct</v>
      </c>
    </row>
    <row r="812" spans="1:9" x14ac:dyDescent="0.25">
      <c r="A812" s="24">
        <v>10740</v>
      </c>
      <c r="B812" s="25" t="s">
        <v>290</v>
      </c>
      <c r="C812" s="26">
        <v>43052</v>
      </c>
      <c r="D812" s="26">
        <v>43080</v>
      </c>
      <c r="E812" s="26">
        <v>43064</v>
      </c>
      <c r="F812" s="25" t="s">
        <v>646</v>
      </c>
      <c r="G812" s="25">
        <v>409.4</v>
      </c>
      <c r="H812" s="25" t="s">
        <v>1</v>
      </c>
      <c r="I812" s="27" t="str">
        <f t="shared" si="12"/>
        <v>Nov</v>
      </c>
    </row>
    <row r="813" spans="1:9" x14ac:dyDescent="0.25">
      <c r="A813" s="28">
        <v>10861</v>
      </c>
      <c r="B813" s="29" t="s">
        <v>290</v>
      </c>
      <c r="C813" s="30">
        <v>43130</v>
      </c>
      <c r="D813" s="30">
        <v>43158</v>
      </c>
      <c r="E813" s="30">
        <v>43148</v>
      </c>
      <c r="F813" s="29" t="s">
        <v>646</v>
      </c>
      <c r="G813" s="29">
        <v>74.650000000000006</v>
      </c>
      <c r="H813" s="29" t="s">
        <v>1</v>
      </c>
      <c r="I813" s="31" t="str">
        <f t="shared" si="12"/>
        <v>Jan</v>
      </c>
    </row>
    <row r="814" spans="1:9" x14ac:dyDescent="0.25">
      <c r="A814" s="24">
        <v>10904</v>
      </c>
      <c r="B814" s="25" t="s">
        <v>290</v>
      </c>
      <c r="C814" s="26">
        <v>43155</v>
      </c>
      <c r="D814" s="26">
        <v>43183</v>
      </c>
      <c r="E814" s="26">
        <v>43158</v>
      </c>
      <c r="F814" s="25" t="s">
        <v>647</v>
      </c>
      <c r="G814" s="25">
        <v>814.75</v>
      </c>
      <c r="H814" s="25" t="s">
        <v>1</v>
      </c>
      <c r="I814" s="27" t="str">
        <f t="shared" si="12"/>
        <v>Feb</v>
      </c>
    </row>
    <row r="815" spans="1:9" x14ac:dyDescent="0.25">
      <c r="A815" s="28">
        <v>11032</v>
      </c>
      <c r="B815" s="29" t="s">
        <v>290</v>
      </c>
      <c r="C815" s="30">
        <v>43207</v>
      </c>
      <c r="D815" s="30">
        <v>43235</v>
      </c>
      <c r="E815" s="30">
        <v>43213</v>
      </c>
      <c r="F815" s="29" t="s">
        <v>647</v>
      </c>
      <c r="G815" s="29">
        <v>3030.9500000000003</v>
      </c>
      <c r="H815" s="29" t="s">
        <v>1</v>
      </c>
      <c r="I815" s="31" t="str">
        <f t="shared" si="12"/>
        <v>Apr</v>
      </c>
    </row>
    <row r="816" spans="1:9" x14ac:dyDescent="0.25">
      <c r="A816" s="24">
        <v>11066</v>
      </c>
      <c r="B816" s="25" t="s">
        <v>290</v>
      </c>
      <c r="C816" s="26">
        <v>43221</v>
      </c>
      <c r="D816" s="26">
        <v>43249</v>
      </c>
      <c r="E816" s="26">
        <v>43224</v>
      </c>
      <c r="F816" s="25" t="s">
        <v>646</v>
      </c>
      <c r="G816" s="25">
        <v>223.6</v>
      </c>
      <c r="H816" s="25" t="s">
        <v>1</v>
      </c>
      <c r="I816" s="27" t="str">
        <f t="shared" si="12"/>
        <v>May</v>
      </c>
    </row>
    <row r="817" spans="1:9" x14ac:dyDescent="0.25">
      <c r="A817" s="28">
        <v>10248</v>
      </c>
      <c r="B817" s="29" t="s">
        <v>293</v>
      </c>
      <c r="C817" s="30">
        <v>42555</v>
      </c>
      <c r="D817" s="30">
        <v>42583</v>
      </c>
      <c r="E817" s="30">
        <v>42567</v>
      </c>
      <c r="F817" s="29" t="s">
        <v>647</v>
      </c>
      <c r="G817" s="29">
        <v>161.9</v>
      </c>
      <c r="H817" s="29" t="s">
        <v>0</v>
      </c>
      <c r="I817" s="31" t="str">
        <f t="shared" si="12"/>
        <v>Jul</v>
      </c>
    </row>
    <row r="818" spans="1:9" x14ac:dyDescent="0.25">
      <c r="A818" s="24">
        <v>10615</v>
      </c>
      <c r="B818" s="25" t="s">
        <v>293</v>
      </c>
      <c r="C818" s="26">
        <v>42946</v>
      </c>
      <c r="D818" s="26">
        <v>42974</v>
      </c>
      <c r="E818" s="26">
        <v>42953</v>
      </c>
      <c r="F818" s="25" t="s">
        <v>647</v>
      </c>
      <c r="G818" s="25">
        <v>3.75</v>
      </c>
      <c r="H818" s="25" t="s">
        <v>0</v>
      </c>
      <c r="I818" s="27" t="str">
        <f t="shared" si="12"/>
        <v>Jul</v>
      </c>
    </row>
    <row r="819" spans="1:9" x14ac:dyDescent="0.25">
      <c r="A819" s="28">
        <v>10673</v>
      </c>
      <c r="B819" s="29" t="s">
        <v>293</v>
      </c>
      <c r="C819" s="30">
        <v>42996</v>
      </c>
      <c r="D819" s="30">
        <v>43024</v>
      </c>
      <c r="E819" s="30">
        <v>42997</v>
      </c>
      <c r="F819" s="29" t="s">
        <v>645</v>
      </c>
      <c r="G819" s="29">
        <v>113.80000000000001</v>
      </c>
      <c r="H819" s="29" t="s">
        <v>0</v>
      </c>
      <c r="I819" s="31" t="str">
        <f t="shared" si="12"/>
        <v>Sep</v>
      </c>
    </row>
    <row r="820" spans="1:9" x14ac:dyDescent="0.25">
      <c r="A820" s="24">
        <v>10695</v>
      </c>
      <c r="B820" s="25" t="s">
        <v>293</v>
      </c>
      <c r="C820" s="26">
        <v>43015</v>
      </c>
      <c r="D820" s="26">
        <v>43057</v>
      </c>
      <c r="E820" s="26">
        <v>43022</v>
      </c>
      <c r="F820" s="25" t="s">
        <v>645</v>
      </c>
      <c r="G820" s="25">
        <v>83.6</v>
      </c>
      <c r="H820" s="25" t="s">
        <v>0</v>
      </c>
      <c r="I820" s="27" t="str">
        <f t="shared" si="12"/>
        <v>Oct</v>
      </c>
    </row>
    <row r="821" spans="1:9" x14ac:dyDescent="0.25">
      <c r="A821" s="28">
        <v>10873</v>
      </c>
      <c r="B821" s="29" t="s">
        <v>293</v>
      </c>
      <c r="C821" s="30">
        <v>43137</v>
      </c>
      <c r="D821" s="30">
        <v>43165</v>
      </c>
      <c r="E821" s="30">
        <v>43140</v>
      </c>
      <c r="F821" s="29" t="s">
        <v>645</v>
      </c>
      <c r="G821" s="29">
        <v>4.0999999999999996</v>
      </c>
      <c r="H821" s="29" t="s">
        <v>0</v>
      </c>
      <c r="I821" s="31" t="str">
        <f t="shared" si="12"/>
        <v>Feb</v>
      </c>
    </row>
    <row r="822" spans="1:9" x14ac:dyDescent="0.25">
      <c r="A822" s="24">
        <v>10879</v>
      </c>
      <c r="B822" s="25" t="s">
        <v>293</v>
      </c>
      <c r="C822" s="26">
        <v>43141</v>
      </c>
      <c r="D822" s="26">
        <v>43169</v>
      </c>
      <c r="E822" s="26">
        <v>43143</v>
      </c>
      <c r="F822" s="25" t="s">
        <v>647</v>
      </c>
      <c r="G822" s="25">
        <v>42.5</v>
      </c>
      <c r="H822" s="25" t="s">
        <v>0</v>
      </c>
      <c r="I822" s="27" t="str">
        <f t="shared" si="12"/>
        <v>Feb</v>
      </c>
    </row>
    <row r="823" spans="1:9" x14ac:dyDescent="0.25">
      <c r="A823" s="28">
        <v>10910</v>
      </c>
      <c r="B823" s="29" t="s">
        <v>293</v>
      </c>
      <c r="C823" s="30">
        <v>43157</v>
      </c>
      <c r="D823" s="30">
        <v>43185</v>
      </c>
      <c r="E823" s="30">
        <v>43163</v>
      </c>
      <c r="F823" s="29" t="s">
        <v>647</v>
      </c>
      <c r="G823" s="29">
        <v>190.55</v>
      </c>
      <c r="H823" s="29" t="s">
        <v>0</v>
      </c>
      <c r="I823" s="31" t="str">
        <f t="shared" si="12"/>
        <v>Feb</v>
      </c>
    </row>
    <row r="824" spans="1:9" x14ac:dyDescent="0.25">
      <c r="A824" s="24">
        <v>11005</v>
      </c>
      <c r="B824" s="25" t="s">
        <v>293</v>
      </c>
      <c r="C824" s="26">
        <v>43197</v>
      </c>
      <c r="D824" s="26">
        <v>43225</v>
      </c>
      <c r="E824" s="26">
        <v>43200</v>
      </c>
      <c r="F824" s="25" t="s">
        <v>645</v>
      </c>
      <c r="G824" s="25">
        <v>3.75</v>
      </c>
      <c r="H824" s="25" t="s">
        <v>0</v>
      </c>
      <c r="I824" s="27" t="str">
        <f t="shared" si="12"/>
        <v>Apr</v>
      </c>
    </row>
    <row r="825" spans="1:9" x14ac:dyDescent="0.25">
      <c r="A825" s="28">
        <v>10374</v>
      </c>
      <c r="B825" s="29" t="s">
        <v>296</v>
      </c>
      <c r="C825" s="30">
        <v>42709</v>
      </c>
      <c r="D825" s="30">
        <v>42737</v>
      </c>
      <c r="E825" s="30">
        <v>42713</v>
      </c>
      <c r="F825" s="29" t="s">
        <v>647</v>
      </c>
      <c r="G825" s="29">
        <v>19.7</v>
      </c>
      <c r="H825" s="29" t="s">
        <v>388</v>
      </c>
      <c r="I825" s="31" t="str">
        <f t="shared" si="12"/>
        <v>Dec</v>
      </c>
    </row>
    <row r="826" spans="1:9" x14ac:dyDescent="0.25">
      <c r="A826" s="24">
        <v>10611</v>
      </c>
      <c r="B826" s="25" t="s">
        <v>296</v>
      </c>
      <c r="C826" s="26">
        <v>42941</v>
      </c>
      <c r="D826" s="26">
        <v>42969</v>
      </c>
      <c r="E826" s="26">
        <v>42948</v>
      </c>
      <c r="F826" s="25" t="s">
        <v>646</v>
      </c>
      <c r="G826" s="25">
        <v>403.25</v>
      </c>
      <c r="H826" s="25" t="s">
        <v>388</v>
      </c>
      <c r="I826" s="27" t="str">
        <f t="shared" si="12"/>
        <v>Jul</v>
      </c>
    </row>
    <row r="827" spans="1:9" x14ac:dyDescent="0.25">
      <c r="A827" s="28">
        <v>10792</v>
      </c>
      <c r="B827" s="29" t="s">
        <v>296</v>
      </c>
      <c r="C827" s="30">
        <v>43092</v>
      </c>
      <c r="D827" s="30">
        <v>43120</v>
      </c>
      <c r="E827" s="30">
        <v>43100</v>
      </c>
      <c r="F827" s="29" t="s">
        <v>647</v>
      </c>
      <c r="G827" s="29">
        <v>118.94999999999999</v>
      </c>
      <c r="H827" s="29" t="s">
        <v>388</v>
      </c>
      <c r="I827" s="31" t="str">
        <f t="shared" si="12"/>
        <v>Dec</v>
      </c>
    </row>
    <row r="828" spans="1:9" x14ac:dyDescent="0.25">
      <c r="A828" s="24">
        <v>10870</v>
      </c>
      <c r="B828" s="25" t="s">
        <v>296</v>
      </c>
      <c r="C828" s="26">
        <v>43135</v>
      </c>
      <c r="D828" s="26">
        <v>43163</v>
      </c>
      <c r="E828" s="26">
        <v>43144</v>
      </c>
      <c r="F828" s="25" t="s">
        <v>647</v>
      </c>
      <c r="G828" s="25">
        <v>60.199999999999996</v>
      </c>
      <c r="H828" s="25" t="s">
        <v>388</v>
      </c>
      <c r="I828" s="27" t="str">
        <f t="shared" si="12"/>
        <v>Feb</v>
      </c>
    </row>
    <row r="829" spans="1:9" x14ac:dyDescent="0.25">
      <c r="A829" s="28">
        <v>10906</v>
      </c>
      <c r="B829" s="29" t="s">
        <v>296</v>
      </c>
      <c r="C829" s="30">
        <v>43156</v>
      </c>
      <c r="D829" s="30">
        <v>43170</v>
      </c>
      <c r="E829" s="30">
        <v>43162</v>
      </c>
      <c r="F829" s="29" t="s">
        <v>647</v>
      </c>
      <c r="G829" s="29">
        <v>131.44999999999999</v>
      </c>
      <c r="H829" s="29" t="s">
        <v>388</v>
      </c>
      <c r="I829" s="31" t="str">
        <f t="shared" si="12"/>
        <v>Feb</v>
      </c>
    </row>
    <row r="830" spans="1:9" x14ac:dyDescent="0.25">
      <c r="A830" s="24">
        <v>10998</v>
      </c>
      <c r="B830" s="25" t="s">
        <v>296</v>
      </c>
      <c r="C830" s="26">
        <v>43193</v>
      </c>
      <c r="D830" s="26">
        <v>43207</v>
      </c>
      <c r="E830" s="26">
        <v>43207</v>
      </c>
      <c r="F830" s="25" t="s">
        <v>646</v>
      </c>
      <c r="G830" s="25">
        <v>101.55</v>
      </c>
      <c r="H830" s="25" t="s">
        <v>388</v>
      </c>
      <c r="I830" s="27" t="str">
        <f t="shared" si="12"/>
        <v>Apr</v>
      </c>
    </row>
    <row r="831" spans="1:9" x14ac:dyDescent="0.25">
      <c r="A831" s="18">
        <v>11044</v>
      </c>
      <c r="B831" s="19" t="s">
        <v>296</v>
      </c>
      <c r="C831" s="32">
        <v>43213</v>
      </c>
      <c r="D831" s="32">
        <v>43241</v>
      </c>
      <c r="E831" s="32">
        <v>43221</v>
      </c>
      <c r="F831" s="19" t="s">
        <v>645</v>
      </c>
      <c r="G831" s="19">
        <v>43.6</v>
      </c>
      <c r="H831" s="19" t="s">
        <v>388</v>
      </c>
      <c r="I831" s="20" t="str">
        <f t="shared" si="12"/>
        <v>Apr</v>
      </c>
    </row>
  </sheetData>
  <phoneticPr fontId="11" type="noConversion"/>
  <pageMargins left="0.7" right="0.7" top="0.75" bottom="0.75" header="0.3" footer="0.3"/>
  <pageSetup orientation="portrait" r:id="rId1"/>
  <ignoredErrors>
    <ignoredError sqref="I2" calculatedColumn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FB8F9-ECA7-4E38-921D-B5D24C95900D}">
  <sheetPr codeName="Sheet3" filterMode="1"/>
  <dimension ref="B1:M1674"/>
  <sheetViews>
    <sheetView showGridLines="0" tabSelected="1" topLeftCell="B1" workbookViewId="0">
      <selection activeCell="B3" sqref="B3:F3"/>
    </sheetView>
  </sheetViews>
  <sheetFormatPr defaultRowHeight="15" x14ac:dyDescent="0.25"/>
  <cols>
    <col min="1" max="1" width="3" style="2" customWidth="1"/>
    <col min="2" max="2" width="26.85546875" style="2" bestFit="1" customWidth="1"/>
    <col min="3" max="3" width="18.85546875" style="2" bestFit="1" customWidth="1"/>
    <col min="4" max="4" width="15.7109375" style="2" bestFit="1" customWidth="1"/>
    <col min="5" max="5" width="15.42578125" style="2" customWidth="1"/>
    <col min="6" max="6" width="16" style="2" bestFit="1" customWidth="1"/>
    <col min="7" max="7" width="26.28515625" style="2" bestFit="1" customWidth="1"/>
    <col min="8" max="8" width="15.42578125" style="2" customWidth="1"/>
    <col min="9" max="9" width="23.42578125" style="2" bestFit="1" customWidth="1"/>
    <col min="10" max="10" width="33.140625" style="2" bestFit="1" customWidth="1"/>
    <col min="11" max="11" width="42.42578125" style="2" bestFit="1" customWidth="1"/>
    <col min="12" max="12" width="14" style="2" bestFit="1" customWidth="1"/>
    <col min="13" max="13" width="13.7109375" style="2" bestFit="1" customWidth="1"/>
    <col min="14" max="14" width="17.28515625" style="2" bestFit="1" customWidth="1"/>
    <col min="15" max="15" width="14.140625" style="2" bestFit="1" customWidth="1"/>
    <col min="16" max="16" width="11.28515625" style="2" bestFit="1" customWidth="1"/>
    <col min="17" max="17" width="7" style="2" bestFit="1" customWidth="1"/>
    <col min="18" max="18" width="6.85546875" style="2" bestFit="1" customWidth="1"/>
    <col min="19" max="19" width="6.28515625" style="2" bestFit="1" customWidth="1"/>
    <col min="20" max="20" width="6.85546875" style="2" bestFit="1" customWidth="1"/>
    <col min="21" max="21" width="7.5703125" style="2" bestFit="1" customWidth="1"/>
    <col min="22" max="22" width="7.28515625" style="2" bestFit="1" customWidth="1"/>
    <col min="23" max="23" width="6.7109375" style="2" bestFit="1" customWidth="1"/>
    <col min="24" max="24" width="7.140625" style="2" bestFit="1" customWidth="1"/>
    <col min="25" max="25" width="7.42578125" style="2" bestFit="1" customWidth="1"/>
    <col min="26" max="26" width="6.28515625" style="2" bestFit="1" customWidth="1"/>
    <col min="27" max="27" width="7.7109375" style="2" bestFit="1" customWidth="1"/>
    <col min="28" max="28" width="8" style="2" bestFit="1" customWidth="1"/>
    <col min="29" max="29" width="5.7109375" style="2" bestFit="1" customWidth="1"/>
    <col min="30" max="30" width="7" style="2" bestFit="1" customWidth="1"/>
    <col min="31" max="32" width="6.85546875" style="2" bestFit="1" customWidth="1"/>
    <col min="33" max="33" width="7.140625" style="2" bestFit="1" customWidth="1"/>
    <col min="34" max="34" width="6.42578125" style="2" bestFit="1" customWidth="1"/>
    <col min="35" max="35" width="7" style="2" bestFit="1" customWidth="1"/>
    <col min="36" max="36" width="5.85546875" style="2" bestFit="1" customWidth="1"/>
    <col min="37" max="37" width="5.5703125" style="2" bestFit="1" customWidth="1"/>
    <col min="38" max="38" width="6.5703125" style="2" bestFit="1" customWidth="1"/>
    <col min="39" max="39" width="6.85546875" style="2" bestFit="1" customWidth="1"/>
    <col min="40" max="40" width="8.140625" style="2" bestFit="1" customWidth="1"/>
    <col min="41" max="41" width="7" style="2" bestFit="1" customWidth="1"/>
    <col min="42" max="42" width="7.140625" style="2" bestFit="1" customWidth="1"/>
    <col min="43" max="43" width="8" style="2" bestFit="1" customWidth="1"/>
    <col min="44" max="44" width="7" style="2" bestFit="1" customWidth="1"/>
    <col min="45" max="45" width="7.28515625" style="2" bestFit="1" customWidth="1"/>
    <col min="46" max="46" width="8" style="2" bestFit="1" customWidth="1"/>
    <col min="47" max="47" width="6.140625" style="2" bestFit="1" customWidth="1"/>
    <col min="48" max="48" width="6" style="2" bestFit="1" customWidth="1"/>
    <col min="49" max="49" width="6.42578125" style="2" bestFit="1" customWidth="1"/>
    <col min="50" max="50" width="5.85546875" style="2" bestFit="1" customWidth="1"/>
    <col min="51" max="51" width="7.140625" style="2" bestFit="1" customWidth="1"/>
    <col min="52" max="52" width="7.28515625" style="2" bestFit="1" customWidth="1"/>
    <col min="53" max="53" width="6.7109375" style="2" bestFit="1" customWidth="1"/>
    <col min="54" max="54" width="7.28515625" style="2" bestFit="1" customWidth="1"/>
    <col min="55" max="55" width="6.5703125" style="2" bestFit="1" customWidth="1"/>
    <col min="56" max="56" width="7.140625" style="2" bestFit="1" customWidth="1"/>
    <col min="57" max="58" width="6.28515625" style="2" bestFit="1" customWidth="1"/>
    <col min="59" max="59" width="7.5703125" style="2" bestFit="1" customWidth="1"/>
    <col min="60" max="60" width="7.140625" style="2" bestFit="1" customWidth="1"/>
    <col min="61" max="61" width="6.85546875" style="2" bestFit="1" customWidth="1"/>
    <col min="62" max="62" width="6.28515625" style="2" bestFit="1" customWidth="1"/>
    <col min="63" max="63" width="7" style="2" bestFit="1" customWidth="1"/>
    <col min="64" max="64" width="6.5703125" style="2" bestFit="1" customWidth="1"/>
    <col min="65" max="65" width="5.7109375" style="2" bestFit="1" customWidth="1"/>
    <col min="66" max="66" width="7" style="2" bestFit="1" customWidth="1"/>
    <col min="67" max="67" width="6" style="2" bestFit="1" customWidth="1"/>
    <col min="68" max="68" width="6.5703125" style="2" bestFit="1" customWidth="1"/>
    <col min="69" max="69" width="7.42578125" style="2" bestFit="1" customWidth="1"/>
    <col min="70" max="71" width="7" style="2" bestFit="1" customWidth="1"/>
    <col min="72" max="72" width="6.28515625" style="2" bestFit="1" customWidth="1"/>
    <col min="73" max="73" width="6.5703125" style="2" bestFit="1" customWidth="1"/>
    <col min="74" max="74" width="6" style="2" bestFit="1" customWidth="1"/>
    <col min="75" max="75" width="6.28515625" style="2" bestFit="1" customWidth="1"/>
    <col min="76" max="76" width="8.140625" style="2" bestFit="1" customWidth="1"/>
    <col min="77" max="77" width="7.7109375" style="2" bestFit="1" customWidth="1"/>
    <col min="78" max="78" width="6.28515625" style="2" bestFit="1" customWidth="1"/>
    <col min="79" max="79" width="7" style="2" bestFit="1" customWidth="1"/>
    <col min="80" max="80" width="7.42578125" style="2" bestFit="1" customWidth="1"/>
    <col min="81" max="81" width="7.5703125" style="2" bestFit="1" customWidth="1"/>
    <col min="82" max="82" width="11.28515625" style="2" bestFit="1" customWidth="1"/>
    <col min="83" max="16384" width="9.140625" style="2"/>
  </cols>
  <sheetData>
    <row r="1" spans="2:13" ht="15.75" thickBot="1" x14ac:dyDescent="0.3">
      <c r="B1" s="1" t="str">
        <f>'Customer Dashboard'!$B$3:$E$3 &amp; " Yearly Orders"</f>
        <v>Anant Rations Yearly Orders</v>
      </c>
      <c r="H1" s="3"/>
    </row>
    <row r="2" spans="2:13" ht="27" thickBot="1" x14ac:dyDescent="0.45">
      <c r="B2" s="38" t="s">
        <v>20</v>
      </c>
      <c r="C2" s="39"/>
      <c r="D2" s="39"/>
      <c r="E2" s="40"/>
    </row>
    <row r="3" spans="2:13" ht="15" customHeight="1" thickBot="1" x14ac:dyDescent="0.3">
      <c r="B3" s="41" t="s">
        <v>317</v>
      </c>
      <c r="C3" s="42"/>
      <c r="D3" s="42"/>
      <c r="E3" s="43"/>
      <c r="G3" s="17" t="s">
        <v>25</v>
      </c>
    </row>
    <row r="4" spans="2:13" ht="15" customHeight="1" thickBot="1" x14ac:dyDescent="0.3">
      <c r="B4" s="4"/>
      <c r="C4" s="4"/>
      <c r="D4" s="4"/>
      <c r="E4" s="4"/>
      <c r="G4" s="2">
        <f>SUBTOTAL(102,Table3[OrderID])</f>
        <v>4</v>
      </c>
    </row>
    <row r="5" spans="2:13" ht="16.5" thickBot="1" x14ac:dyDescent="0.3">
      <c r="B5" s="13" t="s">
        <v>644</v>
      </c>
      <c r="C5" s="14" t="s">
        <v>18</v>
      </c>
      <c r="D5" s="49" t="s">
        <v>24</v>
      </c>
      <c r="E5" s="50"/>
      <c r="G5" s="17" t="s">
        <v>26</v>
      </c>
    </row>
    <row r="6" spans="2:13" ht="15.75" thickBot="1" x14ac:dyDescent="0.3">
      <c r="B6" s="5" t="str">
        <f>VLOOKUP(B3,CustomerInfo[],3,FALSE)</f>
        <v>R Farida</v>
      </c>
      <c r="C6" s="6" t="str">
        <f>VLOOKUP(B3,CustomerInfo[],10,FALSE)</f>
        <v>(5) 555-4729</v>
      </c>
      <c r="D6" s="47" t="str">
        <f>IF(VLOOKUP(B3,CustomerInfo[],11,FALSE)=0, "No Fax Assigned", VLOOKUP(B3,CustomerInfo[],11,FALSE))</f>
        <v>(5) 555-3745</v>
      </c>
      <c r="E6" s="48"/>
      <c r="G6" s="7">
        <f>SUBTOTAL(101,Table3[OrderAmount])</f>
        <v>121.77500000000001</v>
      </c>
      <c r="K6" s="8"/>
      <c r="L6" s="8"/>
      <c r="M6" s="8"/>
    </row>
    <row r="7" spans="2:13" ht="16.5" thickBot="1" x14ac:dyDescent="0.3">
      <c r="G7" s="17" t="s">
        <v>27</v>
      </c>
    </row>
    <row r="8" spans="2:13" ht="16.5" thickBot="1" x14ac:dyDescent="0.3">
      <c r="B8" s="13" t="s">
        <v>19</v>
      </c>
      <c r="C8" s="15"/>
      <c r="D8" s="15"/>
      <c r="E8" s="16"/>
      <c r="G8" s="34">
        <f>SUBTOTAL(104,Table3[OrderDate])</f>
        <v>43163</v>
      </c>
    </row>
    <row r="9" spans="2:13" ht="15.75" thickBot="1" x14ac:dyDescent="0.3">
      <c r="B9" s="44" t="str">
        <f>VLOOKUP(B3,CustomerInfo[],5,FALSE)</f>
        <v>Poonamallee High Rd, Amaravathi Nagar.</v>
      </c>
      <c r="C9" s="45"/>
      <c r="D9" s="45"/>
      <c r="E9" s="46"/>
    </row>
    <row r="10" spans="2:13" ht="16.5" thickBot="1" x14ac:dyDescent="0.3">
      <c r="B10" s="13" t="s">
        <v>21</v>
      </c>
      <c r="C10" s="13" t="s">
        <v>22</v>
      </c>
      <c r="D10" s="13" t="s">
        <v>23</v>
      </c>
      <c r="E10" s="17" t="s">
        <v>612</v>
      </c>
    </row>
    <row r="11" spans="2:13" ht="15.75" thickBot="1" x14ac:dyDescent="0.3">
      <c r="B11" s="9" t="str">
        <f>_xlfn.XLOOKUP(B3,CustomerInfo[Company Name],CustomerInfo[City],"NOT FOUND",0)</f>
        <v>Chennai</v>
      </c>
      <c r="C11" s="10" t="str">
        <f>IF(_xlfn.XLOOKUP(B3,CustomerInfo[Company Name],CustomerInfo[Region],"NOT FOUND",0)=0,"No Region Assigned",_xlfn.XLOOKUP(B3,CustomerInfo[Company Name],CustomerInfo[Region],"NOT FOUND",0))</f>
        <v>No Region Assigned</v>
      </c>
      <c r="D11" s="10">
        <f>_xlfn.XLOOKUP(B3,CustomerInfo[Company Name],CustomerInfo[Postal Code], "NOT FOUND",0)</f>
        <v>600106</v>
      </c>
      <c r="E11" s="11" t="str">
        <f>INDEX(CustomerInfo[State],MATCH('Customer Dashboard'!B3,CustomerInfo[Company Name],0))</f>
        <v>Tamil Nadu</v>
      </c>
    </row>
    <row r="12" spans="2:13" ht="15.75" thickBot="1" x14ac:dyDescent="0.3"/>
    <row r="13" spans="2:13" ht="19.5" thickBot="1" x14ac:dyDescent="0.35">
      <c r="B13" s="35" t="s">
        <v>28</v>
      </c>
      <c r="C13" s="36"/>
      <c r="D13" s="36"/>
      <c r="E13" s="36"/>
      <c r="F13" s="36"/>
      <c r="G13" s="37"/>
    </row>
    <row r="14" spans="2:13" ht="15.75" customHeight="1" x14ac:dyDescent="0.25"/>
    <row r="15" spans="2:13" x14ac:dyDescent="0.25">
      <c r="B15" s="33" t="s">
        <v>311</v>
      </c>
      <c r="C15" s="33" t="s">
        <v>312</v>
      </c>
      <c r="D15" s="33" t="s">
        <v>313</v>
      </c>
      <c r="E15" s="33" t="s">
        <v>314</v>
      </c>
      <c r="F15" s="33" t="s">
        <v>308</v>
      </c>
      <c r="G15" s="33" t="s">
        <v>309</v>
      </c>
      <c r="H15" s="33" t="s">
        <v>315</v>
      </c>
      <c r="I15" s="33" t="s">
        <v>649</v>
      </c>
      <c r="J15" s="33" t="s">
        <v>648</v>
      </c>
    </row>
    <row r="16" spans="2:13" hidden="1" x14ac:dyDescent="0.25">
      <c r="B16">
        <v>10643</v>
      </c>
      <c r="C16" t="s">
        <v>29</v>
      </c>
      <c r="D16">
        <v>42972</v>
      </c>
      <c r="E16">
        <v>43000</v>
      </c>
      <c r="F16">
        <v>42980</v>
      </c>
      <c r="G16" t="s">
        <v>645</v>
      </c>
      <c r="H16">
        <v>147.30000000000001</v>
      </c>
      <c r="I16" t="s">
        <v>316</v>
      </c>
      <c r="J16" t="str">
        <f>TEXT(D16,"mmm")</f>
        <v>Aug</v>
      </c>
    </row>
    <row r="17" spans="2:10" hidden="1" x14ac:dyDescent="0.25">
      <c r="B17">
        <v>10692</v>
      </c>
      <c r="C17" t="s">
        <v>29</v>
      </c>
      <c r="D17">
        <v>43011</v>
      </c>
      <c r="E17">
        <v>43039</v>
      </c>
      <c r="F17">
        <v>43021</v>
      </c>
      <c r="G17" t="s">
        <v>646</v>
      </c>
      <c r="H17">
        <v>305.10000000000002</v>
      </c>
      <c r="I17" t="s">
        <v>316</v>
      </c>
      <c r="J17" t="str">
        <f t="shared" ref="J17:J80" si="0">TEXT(D17,"mmm")</f>
        <v>Oct</v>
      </c>
    </row>
    <row r="18" spans="2:10" hidden="1" x14ac:dyDescent="0.25">
      <c r="B18">
        <v>10702</v>
      </c>
      <c r="C18" t="s">
        <v>29</v>
      </c>
      <c r="D18">
        <v>43021</v>
      </c>
      <c r="E18">
        <v>43063</v>
      </c>
      <c r="F18">
        <v>43029</v>
      </c>
      <c r="G18" t="s">
        <v>645</v>
      </c>
      <c r="H18">
        <v>119.7</v>
      </c>
      <c r="I18" t="s">
        <v>316</v>
      </c>
      <c r="J18" t="str">
        <f t="shared" si="0"/>
        <v>Oct</v>
      </c>
    </row>
    <row r="19" spans="2:10" hidden="1" x14ac:dyDescent="0.25">
      <c r="B19">
        <v>10835</v>
      </c>
      <c r="C19" t="s">
        <v>29</v>
      </c>
      <c r="D19">
        <v>43115</v>
      </c>
      <c r="E19">
        <v>43143</v>
      </c>
      <c r="F19">
        <v>43121</v>
      </c>
      <c r="G19" t="s">
        <v>647</v>
      </c>
      <c r="H19">
        <v>347.65</v>
      </c>
      <c r="I19" t="s">
        <v>316</v>
      </c>
      <c r="J19" t="str">
        <f t="shared" si="0"/>
        <v>Jan</v>
      </c>
    </row>
    <row r="20" spans="2:10" hidden="1" x14ac:dyDescent="0.25">
      <c r="B20">
        <v>10952</v>
      </c>
      <c r="C20" t="s">
        <v>29</v>
      </c>
      <c r="D20">
        <v>43175</v>
      </c>
      <c r="E20">
        <v>43217</v>
      </c>
      <c r="F20">
        <v>43183</v>
      </c>
      <c r="G20" t="s">
        <v>645</v>
      </c>
      <c r="H20">
        <v>202.10000000000002</v>
      </c>
      <c r="I20" t="s">
        <v>316</v>
      </c>
      <c r="J20" t="str">
        <f t="shared" si="0"/>
        <v>Mar</v>
      </c>
    </row>
    <row r="21" spans="2:10" hidden="1" x14ac:dyDescent="0.25">
      <c r="B21">
        <v>11011</v>
      </c>
      <c r="C21" t="s">
        <v>29</v>
      </c>
      <c r="D21">
        <v>43199</v>
      </c>
      <c r="E21">
        <v>43227</v>
      </c>
      <c r="F21">
        <v>43203</v>
      </c>
      <c r="G21" t="s">
        <v>645</v>
      </c>
      <c r="H21">
        <v>6.05</v>
      </c>
      <c r="I21" t="s">
        <v>316</v>
      </c>
      <c r="J21" t="str">
        <f t="shared" si="0"/>
        <v>Apr</v>
      </c>
    </row>
    <row r="22" spans="2:10" x14ac:dyDescent="0.25">
      <c r="B22">
        <v>10308</v>
      </c>
      <c r="C22" t="s">
        <v>33</v>
      </c>
      <c r="D22">
        <v>42631</v>
      </c>
      <c r="E22">
        <v>42659</v>
      </c>
      <c r="F22">
        <v>42637</v>
      </c>
      <c r="G22" t="s">
        <v>647</v>
      </c>
      <c r="H22">
        <v>8.0500000000000007</v>
      </c>
      <c r="I22" t="s">
        <v>317</v>
      </c>
      <c r="J22" t="str">
        <f t="shared" si="0"/>
        <v>Sep</v>
      </c>
    </row>
    <row r="23" spans="2:10" x14ac:dyDescent="0.25">
      <c r="B23">
        <v>10625</v>
      </c>
      <c r="C23" t="s">
        <v>33</v>
      </c>
      <c r="D23">
        <v>42955</v>
      </c>
      <c r="E23">
        <v>42983</v>
      </c>
      <c r="F23">
        <v>42961</v>
      </c>
      <c r="G23" t="s">
        <v>645</v>
      </c>
      <c r="H23">
        <v>219.5</v>
      </c>
      <c r="I23" t="s">
        <v>317</v>
      </c>
      <c r="J23" t="str">
        <f t="shared" si="0"/>
        <v>Aug</v>
      </c>
    </row>
    <row r="24" spans="2:10" x14ac:dyDescent="0.25">
      <c r="B24">
        <v>10759</v>
      </c>
      <c r="C24" t="s">
        <v>33</v>
      </c>
      <c r="D24">
        <v>43067</v>
      </c>
      <c r="E24">
        <v>43095</v>
      </c>
      <c r="F24">
        <v>43081</v>
      </c>
      <c r="G24" t="s">
        <v>647</v>
      </c>
      <c r="H24">
        <v>59.95</v>
      </c>
      <c r="I24" t="s">
        <v>317</v>
      </c>
      <c r="J24" t="str">
        <f t="shared" si="0"/>
        <v>Nov</v>
      </c>
    </row>
    <row r="25" spans="2:10" x14ac:dyDescent="0.25">
      <c r="B25">
        <v>10926</v>
      </c>
      <c r="C25" t="s">
        <v>33</v>
      </c>
      <c r="D25">
        <v>43163</v>
      </c>
      <c r="E25">
        <v>43191</v>
      </c>
      <c r="F25">
        <v>43170</v>
      </c>
      <c r="G25" t="s">
        <v>647</v>
      </c>
      <c r="H25">
        <v>199.60000000000002</v>
      </c>
      <c r="I25" t="s">
        <v>317</v>
      </c>
      <c r="J25" t="str">
        <f t="shared" si="0"/>
        <v>Mar</v>
      </c>
    </row>
    <row r="26" spans="2:10" hidden="1" x14ac:dyDescent="0.25">
      <c r="B26">
        <v>10365</v>
      </c>
      <c r="C26" t="s">
        <v>37</v>
      </c>
      <c r="D26">
        <v>42701</v>
      </c>
      <c r="E26">
        <v>42729</v>
      </c>
      <c r="F26">
        <v>42706</v>
      </c>
      <c r="G26" t="s">
        <v>646</v>
      </c>
      <c r="H26">
        <v>110</v>
      </c>
      <c r="I26" t="s">
        <v>318</v>
      </c>
      <c r="J26" t="str">
        <f t="shared" si="0"/>
        <v>Nov</v>
      </c>
    </row>
    <row r="27" spans="2:10" hidden="1" x14ac:dyDescent="0.25">
      <c r="B27">
        <v>10507</v>
      </c>
      <c r="C27" t="s">
        <v>37</v>
      </c>
      <c r="D27">
        <v>42840</v>
      </c>
      <c r="E27">
        <v>42868</v>
      </c>
      <c r="F27">
        <v>42847</v>
      </c>
      <c r="G27" t="s">
        <v>645</v>
      </c>
      <c r="H27">
        <v>237.25</v>
      </c>
      <c r="I27" t="s">
        <v>318</v>
      </c>
      <c r="J27" t="str">
        <f t="shared" si="0"/>
        <v>Apr</v>
      </c>
    </row>
    <row r="28" spans="2:10" hidden="1" x14ac:dyDescent="0.25">
      <c r="B28">
        <v>10535</v>
      </c>
      <c r="C28" t="s">
        <v>37</v>
      </c>
      <c r="D28">
        <v>42868</v>
      </c>
      <c r="E28">
        <v>42896</v>
      </c>
      <c r="F28">
        <v>42876</v>
      </c>
      <c r="G28" t="s">
        <v>645</v>
      </c>
      <c r="H28">
        <v>78.2</v>
      </c>
      <c r="I28" t="s">
        <v>318</v>
      </c>
      <c r="J28" t="str">
        <f t="shared" si="0"/>
        <v>May</v>
      </c>
    </row>
    <row r="29" spans="2:10" hidden="1" x14ac:dyDescent="0.25">
      <c r="B29">
        <v>10573</v>
      </c>
      <c r="C29" t="s">
        <v>37</v>
      </c>
      <c r="D29">
        <v>42905</v>
      </c>
      <c r="E29">
        <v>42933</v>
      </c>
      <c r="F29">
        <v>42906</v>
      </c>
      <c r="G29" t="s">
        <v>647</v>
      </c>
      <c r="H29">
        <v>424.20000000000005</v>
      </c>
      <c r="I29" t="s">
        <v>318</v>
      </c>
      <c r="J29" t="str">
        <f t="shared" si="0"/>
        <v>Jun</v>
      </c>
    </row>
    <row r="30" spans="2:10" hidden="1" x14ac:dyDescent="0.25">
      <c r="B30">
        <v>10677</v>
      </c>
      <c r="C30" t="s">
        <v>37</v>
      </c>
      <c r="D30">
        <v>43000</v>
      </c>
      <c r="E30">
        <v>43028</v>
      </c>
      <c r="F30">
        <v>43004</v>
      </c>
      <c r="G30" t="s">
        <v>647</v>
      </c>
      <c r="H30">
        <v>20.150000000000002</v>
      </c>
      <c r="I30" t="s">
        <v>318</v>
      </c>
      <c r="J30" t="str">
        <f t="shared" si="0"/>
        <v>Sep</v>
      </c>
    </row>
    <row r="31" spans="2:10" hidden="1" x14ac:dyDescent="0.25">
      <c r="B31">
        <v>10682</v>
      </c>
      <c r="C31" t="s">
        <v>37</v>
      </c>
      <c r="D31">
        <v>43003</v>
      </c>
      <c r="E31">
        <v>43031</v>
      </c>
      <c r="F31">
        <v>43009</v>
      </c>
      <c r="G31" t="s">
        <v>646</v>
      </c>
      <c r="H31">
        <v>180.65</v>
      </c>
      <c r="I31" t="s">
        <v>318</v>
      </c>
      <c r="J31" t="str">
        <f t="shared" si="0"/>
        <v>Sep</v>
      </c>
    </row>
    <row r="32" spans="2:10" hidden="1" x14ac:dyDescent="0.25">
      <c r="B32">
        <v>10856</v>
      </c>
      <c r="C32" t="s">
        <v>37</v>
      </c>
      <c r="D32">
        <v>43128</v>
      </c>
      <c r="E32">
        <v>43156</v>
      </c>
      <c r="F32">
        <v>43141</v>
      </c>
      <c r="G32" t="s">
        <v>646</v>
      </c>
      <c r="H32">
        <v>292.14999999999998</v>
      </c>
      <c r="I32" t="s">
        <v>318</v>
      </c>
      <c r="J32" t="str">
        <f t="shared" si="0"/>
        <v>Jan</v>
      </c>
    </row>
    <row r="33" spans="2:10" hidden="1" x14ac:dyDescent="0.25">
      <c r="B33">
        <v>10355</v>
      </c>
      <c r="C33" t="s">
        <v>39</v>
      </c>
      <c r="D33">
        <v>42689</v>
      </c>
      <c r="E33">
        <v>42717</v>
      </c>
      <c r="F33">
        <v>42694</v>
      </c>
      <c r="G33" t="s">
        <v>645</v>
      </c>
      <c r="H33">
        <v>209.75</v>
      </c>
      <c r="I33" t="s">
        <v>319</v>
      </c>
      <c r="J33" t="str">
        <f t="shared" si="0"/>
        <v>Nov</v>
      </c>
    </row>
    <row r="34" spans="2:10" hidden="1" x14ac:dyDescent="0.25">
      <c r="B34">
        <v>10383</v>
      </c>
      <c r="C34" t="s">
        <v>39</v>
      </c>
      <c r="D34">
        <v>42720</v>
      </c>
      <c r="E34">
        <v>42748</v>
      </c>
      <c r="F34">
        <v>42722</v>
      </c>
      <c r="G34" t="s">
        <v>647</v>
      </c>
      <c r="H34">
        <v>171.20000000000002</v>
      </c>
      <c r="I34" t="s">
        <v>319</v>
      </c>
      <c r="J34" t="str">
        <f t="shared" si="0"/>
        <v>Dec</v>
      </c>
    </row>
    <row r="35" spans="2:10" hidden="1" x14ac:dyDescent="0.25">
      <c r="B35">
        <v>10453</v>
      </c>
      <c r="C35" t="s">
        <v>39</v>
      </c>
      <c r="D35">
        <v>42787</v>
      </c>
      <c r="E35">
        <v>42815</v>
      </c>
      <c r="F35">
        <v>42792</v>
      </c>
      <c r="G35" t="s">
        <v>646</v>
      </c>
      <c r="H35">
        <v>126.8</v>
      </c>
      <c r="I35" t="s">
        <v>319</v>
      </c>
      <c r="J35" t="str">
        <f t="shared" si="0"/>
        <v>Feb</v>
      </c>
    </row>
    <row r="36" spans="2:10" hidden="1" x14ac:dyDescent="0.25">
      <c r="B36">
        <v>10558</v>
      </c>
      <c r="C36" t="s">
        <v>39</v>
      </c>
      <c r="D36">
        <v>42890</v>
      </c>
      <c r="E36">
        <v>42918</v>
      </c>
      <c r="F36">
        <v>42896</v>
      </c>
      <c r="G36" t="s">
        <v>646</v>
      </c>
      <c r="H36">
        <v>364.85</v>
      </c>
      <c r="I36" t="s">
        <v>319</v>
      </c>
      <c r="J36" t="str">
        <f t="shared" si="0"/>
        <v>Jun</v>
      </c>
    </row>
    <row r="37" spans="2:10" hidden="1" x14ac:dyDescent="0.25">
      <c r="B37">
        <v>10707</v>
      </c>
      <c r="C37" t="s">
        <v>39</v>
      </c>
      <c r="D37">
        <v>43024</v>
      </c>
      <c r="E37">
        <v>43038</v>
      </c>
      <c r="F37">
        <v>43031</v>
      </c>
      <c r="G37" t="s">
        <v>647</v>
      </c>
      <c r="H37">
        <v>108.69999999999999</v>
      </c>
      <c r="I37" t="s">
        <v>319</v>
      </c>
      <c r="J37" t="str">
        <f t="shared" si="0"/>
        <v>Oct</v>
      </c>
    </row>
    <row r="38" spans="2:10" hidden="1" x14ac:dyDescent="0.25">
      <c r="B38">
        <v>10741</v>
      </c>
      <c r="C38" t="s">
        <v>39</v>
      </c>
      <c r="D38">
        <v>43053</v>
      </c>
      <c r="E38">
        <v>43067</v>
      </c>
      <c r="F38">
        <v>43057</v>
      </c>
      <c r="G38" t="s">
        <v>647</v>
      </c>
      <c r="H38">
        <v>54.800000000000004</v>
      </c>
      <c r="I38" t="s">
        <v>319</v>
      </c>
      <c r="J38" t="str">
        <f t="shared" si="0"/>
        <v>Nov</v>
      </c>
    </row>
    <row r="39" spans="2:10" hidden="1" x14ac:dyDescent="0.25">
      <c r="B39">
        <v>10743</v>
      </c>
      <c r="C39" t="s">
        <v>39</v>
      </c>
      <c r="D39">
        <v>43056</v>
      </c>
      <c r="E39">
        <v>43084</v>
      </c>
      <c r="F39">
        <v>43060</v>
      </c>
      <c r="G39" t="s">
        <v>646</v>
      </c>
      <c r="H39">
        <v>118.6</v>
      </c>
      <c r="I39" t="s">
        <v>319</v>
      </c>
      <c r="J39" t="str">
        <f t="shared" si="0"/>
        <v>Nov</v>
      </c>
    </row>
    <row r="40" spans="2:10" hidden="1" x14ac:dyDescent="0.25">
      <c r="B40">
        <v>10768</v>
      </c>
      <c r="C40" t="s">
        <v>39</v>
      </c>
      <c r="D40">
        <v>43077</v>
      </c>
      <c r="E40">
        <v>43105</v>
      </c>
      <c r="F40">
        <v>43084</v>
      </c>
      <c r="G40" t="s">
        <v>646</v>
      </c>
      <c r="H40">
        <v>731.59999999999991</v>
      </c>
      <c r="I40" t="s">
        <v>319</v>
      </c>
      <c r="J40" t="str">
        <f t="shared" si="0"/>
        <v>Dec</v>
      </c>
    </row>
    <row r="41" spans="2:10" hidden="1" x14ac:dyDescent="0.25">
      <c r="B41">
        <v>10793</v>
      </c>
      <c r="C41" t="s">
        <v>39</v>
      </c>
      <c r="D41">
        <v>43093</v>
      </c>
      <c r="E41">
        <v>43121</v>
      </c>
      <c r="F41">
        <v>43108</v>
      </c>
      <c r="G41" t="s">
        <v>647</v>
      </c>
      <c r="H41">
        <v>22.599999999999998</v>
      </c>
      <c r="I41" t="s">
        <v>319</v>
      </c>
      <c r="J41" t="str">
        <f t="shared" si="0"/>
        <v>Dec</v>
      </c>
    </row>
    <row r="42" spans="2:10" hidden="1" x14ac:dyDescent="0.25">
      <c r="B42">
        <v>10864</v>
      </c>
      <c r="C42" t="s">
        <v>39</v>
      </c>
      <c r="D42">
        <v>43133</v>
      </c>
      <c r="E42">
        <v>43161</v>
      </c>
      <c r="F42">
        <v>43140</v>
      </c>
      <c r="G42" t="s">
        <v>646</v>
      </c>
      <c r="H42">
        <v>15.2</v>
      </c>
      <c r="I42" t="s">
        <v>319</v>
      </c>
      <c r="J42" t="str">
        <f t="shared" si="0"/>
        <v>Feb</v>
      </c>
    </row>
    <row r="43" spans="2:10" hidden="1" x14ac:dyDescent="0.25">
      <c r="B43">
        <v>10920</v>
      </c>
      <c r="C43" t="s">
        <v>39</v>
      </c>
      <c r="D43">
        <v>43162</v>
      </c>
      <c r="E43">
        <v>43190</v>
      </c>
      <c r="F43">
        <v>43168</v>
      </c>
      <c r="G43" t="s">
        <v>646</v>
      </c>
      <c r="H43">
        <v>148.05000000000001</v>
      </c>
      <c r="I43" t="s">
        <v>319</v>
      </c>
      <c r="J43" t="str">
        <f t="shared" si="0"/>
        <v>Mar</v>
      </c>
    </row>
    <row r="44" spans="2:10" hidden="1" x14ac:dyDescent="0.25">
      <c r="B44">
        <v>10953</v>
      </c>
      <c r="C44" t="s">
        <v>39</v>
      </c>
      <c r="D44">
        <v>43175</v>
      </c>
      <c r="E44">
        <v>43189</v>
      </c>
      <c r="F44">
        <v>43184</v>
      </c>
      <c r="G44" t="s">
        <v>646</v>
      </c>
      <c r="H44">
        <v>118.6</v>
      </c>
      <c r="I44" t="s">
        <v>319</v>
      </c>
      <c r="J44" t="str">
        <f t="shared" si="0"/>
        <v>Mar</v>
      </c>
    </row>
    <row r="45" spans="2:10" hidden="1" x14ac:dyDescent="0.25">
      <c r="B45">
        <v>11016</v>
      </c>
      <c r="C45" t="s">
        <v>39</v>
      </c>
      <c r="D45">
        <v>43200</v>
      </c>
      <c r="E45">
        <v>43228</v>
      </c>
      <c r="F45">
        <v>43203</v>
      </c>
      <c r="G45" t="s">
        <v>646</v>
      </c>
      <c r="H45">
        <v>169</v>
      </c>
      <c r="I45" t="s">
        <v>319</v>
      </c>
      <c r="J45" t="str">
        <f t="shared" si="0"/>
        <v>Apr</v>
      </c>
    </row>
    <row r="46" spans="2:10" hidden="1" x14ac:dyDescent="0.25">
      <c r="B46">
        <v>10278</v>
      </c>
      <c r="C46" t="s">
        <v>42</v>
      </c>
      <c r="D46">
        <v>42594</v>
      </c>
      <c r="E46">
        <v>42622</v>
      </c>
      <c r="F46">
        <v>42598</v>
      </c>
      <c r="G46" t="s">
        <v>646</v>
      </c>
      <c r="H46">
        <v>463.45</v>
      </c>
      <c r="I46" t="s">
        <v>320</v>
      </c>
      <c r="J46" t="str">
        <f t="shared" si="0"/>
        <v>Aug</v>
      </c>
    </row>
    <row r="47" spans="2:10" hidden="1" x14ac:dyDescent="0.25">
      <c r="B47">
        <v>10280</v>
      </c>
      <c r="C47" t="s">
        <v>42</v>
      </c>
      <c r="D47">
        <v>42596</v>
      </c>
      <c r="E47">
        <v>42624</v>
      </c>
      <c r="F47">
        <v>42625</v>
      </c>
      <c r="G47" t="s">
        <v>645</v>
      </c>
      <c r="H47">
        <v>44.900000000000006</v>
      </c>
      <c r="I47" t="s">
        <v>320</v>
      </c>
      <c r="J47" t="str">
        <f t="shared" si="0"/>
        <v>Aug</v>
      </c>
    </row>
    <row r="48" spans="2:10" hidden="1" x14ac:dyDescent="0.25">
      <c r="B48">
        <v>10384</v>
      </c>
      <c r="C48" t="s">
        <v>42</v>
      </c>
      <c r="D48">
        <v>42720</v>
      </c>
      <c r="E48">
        <v>42748</v>
      </c>
      <c r="F48">
        <v>42724</v>
      </c>
      <c r="G48" t="s">
        <v>647</v>
      </c>
      <c r="H48">
        <v>843.19999999999993</v>
      </c>
      <c r="I48" t="s">
        <v>320</v>
      </c>
      <c r="J48" t="str">
        <f t="shared" si="0"/>
        <v>Dec</v>
      </c>
    </row>
    <row r="49" spans="2:10" hidden="1" x14ac:dyDescent="0.25">
      <c r="B49">
        <v>10444</v>
      </c>
      <c r="C49" t="s">
        <v>42</v>
      </c>
      <c r="D49">
        <v>42778</v>
      </c>
      <c r="E49">
        <v>42806</v>
      </c>
      <c r="F49">
        <v>42787</v>
      </c>
      <c r="G49" t="s">
        <v>647</v>
      </c>
      <c r="H49">
        <v>17.5</v>
      </c>
      <c r="I49" t="s">
        <v>320</v>
      </c>
      <c r="J49" t="str">
        <f t="shared" si="0"/>
        <v>Feb</v>
      </c>
    </row>
    <row r="50" spans="2:10" hidden="1" x14ac:dyDescent="0.25">
      <c r="B50">
        <v>10445</v>
      </c>
      <c r="C50" t="s">
        <v>42</v>
      </c>
      <c r="D50">
        <v>42779</v>
      </c>
      <c r="E50">
        <v>42807</v>
      </c>
      <c r="F50">
        <v>42786</v>
      </c>
      <c r="G50" t="s">
        <v>645</v>
      </c>
      <c r="H50">
        <v>46.5</v>
      </c>
      <c r="I50" t="s">
        <v>320</v>
      </c>
      <c r="J50" t="str">
        <f t="shared" si="0"/>
        <v>Feb</v>
      </c>
    </row>
    <row r="51" spans="2:10" hidden="1" x14ac:dyDescent="0.25">
      <c r="B51">
        <v>10524</v>
      </c>
      <c r="C51" t="s">
        <v>42</v>
      </c>
      <c r="D51">
        <v>42856</v>
      </c>
      <c r="E51">
        <v>42884</v>
      </c>
      <c r="F51">
        <v>42862</v>
      </c>
      <c r="G51" t="s">
        <v>646</v>
      </c>
      <c r="H51">
        <v>1223.95</v>
      </c>
      <c r="I51" t="s">
        <v>320</v>
      </c>
      <c r="J51" t="str">
        <f t="shared" si="0"/>
        <v>May</v>
      </c>
    </row>
    <row r="52" spans="2:10" hidden="1" x14ac:dyDescent="0.25">
      <c r="B52">
        <v>10572</v>
      </c>
      <c r="C52" t="s">
        <v>42</v>
      </c>
      <c r="D52">
        <v>42904</v>
      </c>
      <c r="E52">
        <v>42932</v>
      </c>
      <c r="F52">
        <v>42911</v>
      </c>
      <c r="G52" t="s">
        <v>646</v>
      </c>
      <c r="H52">
        <v>582.15000000000009</v>
      </c>
      <c r="I52" t="s">
        <v>320</v>
      </c>
      <c r="J52" t="str">
        <f t="shared" si="0"/>
        <v>Jun</v>
      </c>
    </row>
    <row r="53" spans="2:10" hidden="1" x14ac:dyDescent="0.25">
      <c r="B53">
        <v>10626</v>
      </c>
      <c r="C53" t="s">
        <v>42</v>
      </c>
      <c r="D53">
        <v>42958</v>
      </c>
      <c r="E53">
        <v>42986</v>
      </c>
      <c r="F53">
        <v>42967</v>
      </c>
      <c r="G53" t="s">
        <v>646</v>
      </c>
      <c r="H53">
        <v>693.45</v>
      </c>
      <c r="I53" t="s">
        <v>320</v>
      </c>
      <c r="J53" t="str">
        <f t="shared" si="0"/>
        <v>Aug</v>
      </c>
    </row>
    <row r="54" spans="2:10" hidden="1" x14ac:dyDescent="0.25">
      <c r="B54">
        <v>10654</v>
      </c>
      <c r="C54" t="s">
        <v>42</v>
      </c>
      <c r="D54">
        <v>42980</v>
      </c>
      <c r="E54">
        <v>43008</v>
      </c>
      <c r="F54">
        <v>42989</v>
      </c>
      <c r="G54" t="s">
        <v>645</v>
      </c>
      <c r="H54">
        <v>276.3</v>
      </c>
      <c r="I54" t="s">
        <v>320</v>
      </c>
      <c r="J54" t="str">
        <f t="shared" si="0"/>
        <v>Sep</v>
      </c>
    </row>
    <row r="55" spans="2:10" hidden="1" x14ac:dyDescent="0.25">
      <c r="B55">
        <v>10672</v>
      </c>
      <c r="C55" t="s">
        <v>42</v>
      </c>
      <c r="D55">
        <v>42995</v>
      </c>
      <c r="E55">
        <v>43009</v>
      </c>
      <c r="F55">
        <v>43004</v>
      </c>
      <c r="G55" t="s">
        <v>646</v>
      </c>
      <c r="H55">
        <v>478.75</v>
      </c>
      <c r="I55" t="s">
        <v>320</v>
      </c>
      <c r="J55" t="str">
        <f t="shared" si="0"/>
        <v>Sep</v>
      </c>
    </row>
    <row r="56" spans="2:10" hidden="1" x14ac:dyDescent="0.25">
      <c r="B56">
        <v>10689</v>
      </c>
      <c r="C56" t="s">
        <v>42</v>
      </c>
      <c r="D56">
        <v>43009</v>
      </c>
      <c r="E56">
        <v>43037</v>
      </c>
      <c r="F56">
        <v>43015</v>
      </c>
      <c r="G56" t="s">
        <v>646</v>
      </c>
      <c r="H56">
        <v>67.099999999999994</v>
      </c>
      <c r="I56" t="s">
        <v>320</v>
      </c>
      <c r="J56" t="str">
        <f t="shared" si="0"/>
        <v>Oct</v>
      </c>
    </row>
    <row r="57" spans="2:10" hidden="1" x14ac:dyDescent="0.25">
      <c r="B57">
        <v>10733</v>
      </c>
      <c r="C57" t="s">
        <v>42</v>
      </c>
      <c r="D57">
        <v>43046</v>
      </c>
      <c r="E57">
        <v>43074</v>
      </c>
      <c r="F57">
        <v>43049</v>
      </c>
      <c r="G57" t="s">
        <v>647</v>
      </c>
      <c r="H57">
        <v>550.54999999999995</v>
      </c>
      <c r="I57" t="s">
        <v>320</v>
      </c>
      <c r="J57" t="str">
        <f t="shared" si="0"/>
        <v>Nov</v>
      </c>
    </row>
    <row r="58" spans="2:10" hidden="1" x14ac:dyDescent="0.25">
      <c r="B58">
        <v>10778</v>
      </c>
      <c r="C58" t="s">
        <v>42</v>
      </c>
      <c r="D58">
        <v>43085</v>
      </c>
      <c r="E58">
        <v>43113</v>
      </c>
      <c r="F58">
        <v>43093</v>
      </c>
      <c r="G58" t="s">
        <v>645</v>
      </c>
      <c r="H58">
        <v>33.950000000000003</v>
      </c>
      <c r="I58" t="s">
        <v>320</v>
      </c>
      <c r="J58" t="str">
        <f t="shared" si="0"/>
        <v>Dec</v>
      </c>
    </row>
    <row r="59" spans="2:10" hidden="1" x14ac:dyDescent="0.25">
      <c r="B59">
        <v>10837</v>
      </c>
      <c r="C59" t="s">
        <v>42</v>
      </c>
      <c r="D59">
        <v>43116</v>
      </c>
      <c r="E59">
        <v>43144</v>
      </c>
      <c r="F59">
        <v>43123</v>
      </c>
      <c r="G59" t="s">
        <v>647</v>
      </c>
      <c r="H59">
        <v>66.599999999999994</v>
      </c>
      <c r="I59" t="s">
        <v>320</v>
      </c>
      <c r="J59" t="str">
        <f t="shared" si="0"/>
        <v>Jan</v>
      </c>
    </row>
    <row r="60" spans="2:10" hidden="1" x14ac:dyDescent="0.25">
      <c r="B60">
        <v>10857</v>
      </c>
      <c r="C60" t="s">
        <v>42</v>
      </c>
      <c r="D60">
        <v>43128</v>
      </c>
      <c r="E60">
        <v>43156</v>
      </c>
      <c r="F60">
        <v>43137</v>
      </c>
      <c r="G60" t="s">
        <v>646</v>
      </c>
      <c r="H60">
        <v>944.25</v>
      </c>
      <c r="I60" t="s">
        <v>320</v>
      </c>
      <c r="J60" t="str">
        <f t="shared" si="0"/>
        <v>Jan</v>
      </c>
    </row>
    <row r="61" spans="2:10" hidden="1" x14ac:dyDescent="0.25">
      <c r="B61">
        <v>10866</v>
      </c>
      <c r="C61" t="s">
        <v>42</v>
      </c>
      <c r="D61">
        <v>43134</v>
      </c>
      <c r="E61">
        <v>43162</v>
      </c>
      <c r="F61">
        <v>43143</v>
      </c>
      <c r="G61" t="s">
        <v>645</v>
      </c>
      <c r="H61">
        <v>545.54999999999995</v>
      </c>
      <c r="I61" t="s">
        <v>320</v>
      </c>
      <c r="J61" t="str">
        <f t="shared" si="0"/>
        <v>Feb</v>
      </c>
    </row>
    <row r="62" spans="2:10" hidden="1" x14ac:dyDescent="0.25">
      <c r="B62">
        <v>10875</v>
      </c>
      <c r="C62" t="s">
        <v>42</v>
      </c>
      <c r="D62">
        <v>43137</v>
      </c>
      <c r="E62">
        <v>43165</v>
      </c>
      <c r="F62">
        <v>43162</v>
      </c>
      <c r="G62" t="s">
        <v>646</v>
      </c>
      <c r="H62">
        <v>161.85</v>
      </c>
      <c r="I62" t="s">
        <v>320</v>
      </c>
      <c r="J62" t="str">
        <f t="shared" si="0"/>
        <v>Feb</v>
      </c>
    </row>
    <row r="63" spans="2:10" hidden="1" x14ac:dyDescent="0.25">
      <c r="B63">
        <v>10924</v>
      </c>
      <c r="C63" t="s">
        <v>42</v>
      </c>
      <c r="D63">
        <v>43163</v>
      </c>
      <c r="E63">
        <v>43191</v>
      </c>
      <c r="F63">
        <v>43198</v>
      </c>
      <c r="G63" t="s">
        <v>646</v>
      </c>
      <c r="H63">
        <v>757.6</v>
      </c>
      <c r="I63" t="s">
        <v>320</v>
      </c>
      <c r="J63" t="str">
        <f t="shared" si="0"/>
        <v>Mar</v>
      </c>
    </row>
    <row r="64" spans="2:10" hidden="1" x14ac:dyDescent="0.25">
      <c r="B64">
        <v>10501</v>
      </c>
      <c r="C64" t="s">
        <v>46</v>
      </c>
      <c r="D64">
        <v>42834</v>
      </c>
      <c r="E64">
        <v>42862</v>
      </c>
      <c r="F64">
        <v>42841</v>
      </c>
      <c r="G64" t="s">
        <v>647</v>
      </c>
      <c r="H64">
        <v>44.25</v>
      </c>
      <c r="I64" t="s">
        <v>321</v>
      </c>
      <c r="J64" t="str">
        <f t="shared" si="0"/>
        <v>Apr</v>
      </c>
    </row>
    <row r="65" spans="2:10" hidden="1" x14ac:dyDescent="0.25">
      <c r="B65">
        <v>10509</v>
      </c>
      <c r="C65" t="s">
        <v>46</v>
      </c>
      <c r="D65">
        <v>42842</v>
      </c>
      <c r="E65">
        <v>42870</v>
      </c>
      <c r="F65">
        <v>42854</v>
      </c>
      <c r="G65" t="s">
        <v>645</v>
      </c>
      <c r="H65">
        <v>0.75</v>
      </c>
      <c r="I65" t="s">
        <v>321</v>
      </c>
      <c r="J65" t="str">
        <f t="shared" si="0"/>
        <v>Apr</v>
      </c>
    </row>
    <row r="66" spans="2:10" hidden="1" x14ac:dyDescent="0.25">
      <c r="B66">
        <v>10582</v>
      </c>
      <c r="C66" t="s">
        <v>46</v>
      </c>
      <c r="D66">
        <v>42913</v>
      </c>
      <c r="E66">
        <v>42941</v>
      </c>
      <c r="F66">
        <v>42930</v>
      </c>
      <c r="G66" t="s">
        <v>646</v>
      </c>
      <c r="H66">
        <v>138.55000000000001</v>
      </c>
      <c r="I66" t="s">
        <v>321</v>
      </c>
      <c r="J66" t="str">
        <f t="shared" si="0"/>
        <v>Jun</v>
      </c>
    </row>
    <row r="67" spans="2:10" hidden="1" x14ac:dyDescent="0.25">
      <c r="B67">
        <v>10614</v>
      </c>
      <c r="C67" t="s">
        <v>46</v>
      </c>
      <c r="D67">
        <v>42945</v>
      </c>
      <c r="E67">
        <v>42973</v>
      </c>
      <c r="F67">
        <v>42948</v>
      </c>
      <c r="G67" t="s">
        <v>647</v>
      </c>
      <c r="H67">
        <v>9.65</v>
      </c>
      <c r="I67" t="s">
        <v>321</v>
      </c>
      <c r="J67" t="str">
        <f t="shared" si="0"/>
        <v>Jul</v>
      </c>
    </row>
    <row r="68" spans="2:10" hidden="1" x14ac:dyDescent="0.25">
      <c r="B68">
        <v>10853</v>
      </c>
      <c r="C68" t="s">
        <v>46</v>
      </c>
      <c r="D68">
        <v>43127</v>
      </c>
      <c r="E68">
        <v>43155</v>
      </c>
      <c r="F68">
        <v>43134</v>
      </c>
      <c r="G68" t="s">
        <v>646</v>
      </c>
      <c r="H68">
        <v>269.14999999999998</v>
      </c>
      <c r="I68" t="s">
        <v>321</v>
      </c>
      <c r="J68" t="str">
        <f t="shared" si="0"/>
        <v>Jan</v>
      </c>
    </row>
    <row r="69" spans="2:10" hidden="1" x14ac:dyDescent="0.25">
      <c r="B69">
        <v>10956</v>
      </c>
      <c r="C69" t="s">
        <v>46</v>
      </c>
      <c r="D69">
        <v>43176</v>
      </c>
      <c r="E69">
        <v>43218</v>
      </c>
      <c r="F69">
        <v>43179</v>
      </c>
      <c r="G69" t="s">
        <v>646</v>
      </c>
      <c r="H69">
        <v>223.25</v>
      </c>
      <c r="I69" t="s">
        <v>321</v>
      </c>
      <c r="J69" t="str">
        <f t="shared" si="0"/>
        <v>Mar</v>
      </c>
    </row>
    <row r="70" spans="2:10" hidden="1" x14ac:dyDescent="0.25">
      <c r="B70">
        <v>11058</v>
      </c>
      <c r="C70" t="s">
        <v>46</v>
      </c>
      <c r="D70">
        <v>43219</v>
      </c>
      <c r="E70">
        <v>43247</v>
      </c>
      <c r="F70"/>
      <c r="G70" t="s">
        <v>647</v>
      </c>
      <c r="H70">
        <v>155.69999999999999</v>
      </c>
      <c r="I70" t="s">
        <v>321</v>
      </c>
      <c r="J70" t="str">
        <f t="shared" si="0"/>
        <v>Apr</v>
      </c>
    </row>
    <row r="71" spans="2:10" hidden="1" x14ac:dyDescent="0.25">
      <c r="B71">
        <v>10265</v>
      </c>
      <c r="C71" t="s">
        <v>49</v>
      </c>
      <c r="D71">
        <v>42576</v>
      </c>
      <c r="E71">
        <v>42604</v>
      </c>
      <c r="F71">
        <v>42594</v>
      </c>
      <c r="G71" t="s">
        <v>645</v>
      </c>
      <c r="H71">
        <v>276.39999999999998</v>
      </c>
      <c r="I71" t="s">
        <v>322</v>
      </c>
      <c r="J71" t="str">
        <f t="shared" si="0"/>
        <v>Jul</v>
      </c>
    </row>
    <row r="72" spans="2:10" hidden="1" x14ac:dyDescent="0.25">
      <c r="B72">
        <v>10297</v>
      </c>
      <c r="C72" t="s">
        <v>49</v>
      </c>
      <c r="D72">
        <v>42617</v>
      </c>
      <c r="E72">
        <v>42659</v>
      </c>
      <c r="F72">
        <v>42623</v>
      </c>
      <c r="G72" t="s">
        <v>646</v>
      </c>
      <c r="H72">
        <v>28.700000000000003</v>
      </c>
      <c r="I72" t="s">
        <v>322</v>
      </c>
      <c r="J72" t="str">
        <f t="shared" si="0"/>
        <v>Sep</v>
      </c>
    </row>
    <row r="73" spans="2:10" hidden="1" x14ac:dyDescent="0.25">
      <c r="B73">
        <v>10360</v>
      </c>
      <c r="C73" t="s">
        <v>49</v>
      </c>
      <c r="D73">
        <v>42696</v>
      </c>
      <c r="E73">
        <v>42724</v>
      </c>
      <c r="F73">
        <v>42706</v>
      </c>
      <c r="G73" t="s">
        <v>647</v>
      </c>
      <c r="H73">
        <v>658.5</v>
      </c>
      <c r="I73" t="s">
        <v>322</v>
      </c>
      <c r="J73" t="str">
        <f t="shared" si="0"/>
        <v>Nov</v>
      </c>
    </row>
    <row r="74" spans="2:10" hidden="1" x14ac:dyDescent="0.25">
      <c r="B74">
        <v>10436</v>
      </c>
      <c r="C74" t="s">
        <v>49</v>
      </c>
      <c r="D74">
        <v>42771</v>
      </c>
      <c r="E74">
        <v>42799</v>
      </c>
      <c r="F74">
        <v>42777</v>
      </c>
      <c r="G74" t="s">
        <v>646</v>
      </c>
      <c r="H74">
        <v>783.3</v>
      </c>
      <c r="I74" t="s">
        <v>322</v>
      </c>
      <c r="J74" t="str">
        <f t="shared" si="0"/>
        <v>Feb</v>
      </c>
    </row>
    <row r="75" spans="2:10" hidden="1" x14ac:dyDescent="0.25">
      <c r="B75">
        <v>10449</v>
      </c>
      <c r="C75" t="s">
        <v>49</v>
      </c>
      <c r="D75">
        <v>42784</v>
      </c>
      <c r="E75">
        <v>42812</v>
      </c>
      <c r="F75">
        <v>42793</v>
      </c>
      <c r="G75" t="s">
        <v>646</v>
      </c>
      <c r="H75">
        <v>266.5</v>
      </c>
      <c r="I75" t="s">
        <v>322</v>
      </c>
      <c r="J75" t="str">
        <f t="shared" si="0"/>
        <v>Feb</v>
      </c>
    </row>
    <row r="76" spans="2:10" hidden="1" x14ac:dyDescent="0.25">
      <c r="B76">
        <v>10559</v>
      </c>
      <c r="C76" t="s">
        <v>49</v>
      </c>
      <c r="D76">
        <v>42891</v>
      </c>
      <c r="E76">
        <v>42919</v>
      </c>
      <c r="F76">
        <v>42899</v>
      </c>
      <c r="G76" t="s">
        <v>645</v>
      </c>
      <c r="H76">
        <v>40.25</v>
      </c>
      <c r="I76" t="s">
        <v>322</v>
      </c>
      <c r="J76" t="str">
        <f t="shared" si="0"/>
        <v>Jun</v>
      </c>
    </row>
    <row r="77" spans="2:10" hidden="1" x14ac:dyDescent="0.25">
      <c r="B77">
        <v>10566</v>
      </c>
      <c r="C77" t="s">
        <v>49</v>
      </c>
      <c r="D77">
        <v>42898</v>
      </c>
      <c r="E77">
        <v>42926</v>
      </c>
      <c r="F77">
        <v>42904</v>
      </c>
      <c r="G77" t="s">
        <v>645</v>
      </c>
      <c r="H77">
        <v>442</v>
      </c>
      <c r="I77" t="s">
        <v>322</v>
      </c>
      <c r="J77" t="str">
        <f t="shared" si="0"/>
        <v>Jun</v>
      </c>
    </row>
    <row r="78" spans="2:10" hidden="1" x14ac:dyDescent="0.25">
      <c r="B78">
        <v>10584</v>
      </c>
      <c r="C78" t="s">
        <v>49</v>
      </c>
      <c r="D78">
        <v>42916</v>
      </c>
      <c r="E78">
        <v>42944</v>
      </c>
      <c r="F78">
        <v>42920</v>
      </c>
      <c r="G78" t="s">
        <v>645</v>
      </c>
      <c r="H78">
        <v>295.7</v>
      </c>
      <c r="I78" t="s">
        <v>322</v>
      </c>
      <c r="J78" t="str">
        <f t="shared" si="0"/>
        <v>Jun</v>
      </c>
    </row>
    <row r="79" spans="2:10" hidden="1" x14ac:dyDescent="0.25">
      <c r="B79">
        <v>10628</v>
      </c>
      <c r="C79" t="s">
        <v>49</v>
      </c>
      <c r="D79">
        <v>42959</v>
      </c>
      <c r="E79">
        <v>42987</v>
      </c>
      <c r="F79">
        <v>42967</v>
      </c>
      <c r="G79" t="s">
        <v>647</v>
      </c>
      <c r="H79">
        <v>151.80000000000001</v>
      </c>
      <c r="I79" t="s">
        <v>322</v>
      </c>
      <c r="J79" t="str">
        <f t="shared" si="0"/>
        <v>Aug</v>
      </c>
    </row>
    <row r="80" spans="2:10" hidden="1" x14ac:dyDescent="0.25">
      <c r="B80">
        <v>10679</v>
      </c>
      <c r="C80" t="s">
        <v>49</v>
      </c>
      <c r="D80">
        <v>43001</v>
      </c>
      <c r="E80">
        <v>43029</v>
      </c>
      <c r="F80">
        <v>43008</v>
      </c>
      <c r="G80" t="s">
        <v>647</v>
      </c>
      <c r="H80">
        <v>139.70000000000002</v>
      </c>
      <c r="I80" t="s">
        <v>322</v>
      </c>
      <c r="J80" t="str">
        <f t="shared" si="0"/>
        <v>Sep</v>
      </c>
    </row>
    <row r="81" spans="2:10" hidden="1" x14ac:dyDescent="0.25">
      <c r="B81">
        <v>10826</v>
      </c>
      <c r="C81" t="s">
        <v>49</v>
      </c>
      <c r="D81">
        <v>43112</v>
      </c>
      <c r="E81">
        <v>43140</v>
      </c>
      <c r="F81">
        <v>43137</v>
      </c>
      <c r="G81" t="s">
        <v>645</v>
      </c>
      <c r="H81">
        <v>35.450000000000003</v>
      </c>
      <c r="I81" t="s">
        <v>322</v>
      </c>
      <c r="J81" t="str">
        <f t="shared" ref="J81:J144" si="1">TEXT(D81,"mmm")</f>
        <v>Jan</v>
      </c>
    </row>
    <row r="82" spans="2:10" hidden="1" x14ac:dyDescent="0.25">
      <c r="B82">
        <v>10326</v>
      </c>
      <c r="C82" t="s">
        <v>53</v>
      </c>
      <c r="D82">
        <v>42653</v>
      </c>
      <c r="E82">
        <v>42681</v>
      </c>
      <c r="F82">
        <v>42657</v>
      </c>
      <c r="G82" t="s">
        <v>646</v>
      </c>
      <c r="H82">
        <v>389.6</v>
      </c>
      <c r="I82" t="s">
        <v>323</v>
      </c>
      <c r="J82" t="str">
        <f t="shared" si="1"/>
        <v>Oct</v>
      </c>
    </row>
    <row r="83" spans="2:10" hidden="1" x14ac:dyDescent="0.25">
      <c r="B83">
        <v>10801</v>
      </c>
      <c r="C83" t="s">
        <v>53</v>
      </c>
      <c r="D83">
        <v>43098</v>
      </c>
      <c r="E83">
        <v>43126</v>
      </c>
      <c r="F83">
        <v>43100</v>
      </c>
      <c r="G83" t="s">
        <v>646</v>
      </c>
      <c r="H83">
        <v>485.45000000000005</v>
      </c>
      <c r="I83" t="s">
        <v>323</v>
      </c>
      <c r="J83" t="str">
        <f t="shared" si="1"/>
        <v>Dec</v>
      </c>
    </row>
    <row r="84" spans="2:10" hidden="1" x14ac:dyDescent="0.25">
      <c r="B84">
        <v>10970</v>
      </c>
      <c r="C84" t="s">
        <v>53</v>
      </c>
      <c r="D84">
        <v>43183</v>
      </c>
      <c r="E84">
        <v>43197</v>
      </c>
      <c r="F84">
        <v>43214</v>
      </c>
      <c r="G84" t="s">
        <v>645</v>
      </c>
      <c r="H84">
        <v>80.8</v>
      </c>
      <c r="I84" t="s">
        <v>323</v>
      </c>
      <c r="J84" t="str">
        <f t="shared" si="1"/>
        <v>Mar</v>
      </c>
    </row>
    <row r="85" spans="2:10" hidden="1" x14ac:dyDescent="0.25">
      <c r="B85">
        <v>10331</v>
      </c>
      <c r="C85" t="s">
        <v>56</v>
      </c>
      <c r="D85">
        <v>42659</v>
      </c>
      <c r="E85">
        <v>42701</v>
      </c>
      <c r="F85">
        <v>42664</v>
      </c>
      <c r="G85" t="s">
        <v>645</v>
      </c>
      <c r="H85">
        <v>50.949999999999996</v>
      </c>
      <c r="I85" t="s">
        <v>325</v>
      </c>
      <c r="J85" t="str">
        <f t="shared" si="1"/>
        <v>Oct</v>
      </c>
    </row>
    <row r="86" spans="2:10" hidden="1" x14ac:dyDescent="0.25">
      <c r="B86">
        <v>10340</v>
      </c>
      <c r="C86" t="s">
        <v>56</v>
      </c>
      <c r="D86">
        <v>42672</v>
      </c>
      <c r="E86">
        <v>42700</v>
      </c>
      <c r="F86">
        <v>42682</v>
      </c>
      <c r="G86" t="s">
        <v>647</v>
      </c>
      <c r="H86">
        <v>831.55</v>
      </c>
      <c r="I86" t="s">
        <v>325</v>
      </c>
      <c r="J86" t="str">
        <f t="shared" si="1"/>
        <v>Oct</v>
      </c>
    </row>
    <row r="87" spans="2:10" hidden="1" x14ac:dyDescent="0.25">
      <c r="B87">
        <v>10362</v>
      </c>
      <c r="C87" t="s">
        <v>56</v>
      </c>
      <c r="D87">
        <v>42699</v>
      </c>
      <c r="E87">
        <v>42727</v>
      </c>
      <c r="F87">
        <v>42702</v>
      </c>
      <c r="G87" t="s">
        <v>645</v>
      </c>
      <c r="H87">
        <v>480.20000000000005</v>
      </c>
      <c r="I87" t="s">
        <v>325</v>
      </c>
      <c r="J87" t="str">
        <f t="shared" si="1"/>
        <v>Nov</v>
      </c>
    </row>
    <row r="88" spans="2:10" hidden="1" x14ac:dyDescent="0.25">
      <c r="B88">
        <v>10470</v>
      </c>
      <c r="C88" t="s">
        <v>56</v>
      </c>
      <c r="D88">
        <v>42805</v>
      </c>
      <c r="E88">
        <v>42833</v>
      </c>
      <c r="F88">
        <v>42808</v>
      </c>
      <c r="G88" t="s">
        <v>646</v>
      </c>
      <c r="H88">
        <v>322.8</v>
      </c>
      <c r="I88" t="s">
        <v>325</v>
      </c>
      <c r="J88" t="str">
        <f t="shared" si="1"/>
        <v>Mar</v>
      </c>
    </row>
    <row r="89" spans="2:10" hidden="1" x14ac:dyDescent="0.25">
      <c r="B89">
        <v>10511</v>
      </c>
      <c r="C89" t="s">
        <v>56</v>
      </c>
      <c r="D89">
        <v>42843</v>
      </c>
      <c r="E89">
        <v>42871</v>
      </c>
      <c r="F89">
        <v>42846</v>
      </c>
      <c r="G89" t="s">
        <v>647</v>
      </c>
      <c r="H89">
        <v>1753.1999999999998</v>
      </c>
      <c r="I89" t="s">
        <v>325</v>
      </c>
      <c r="J89" t="str">
        <f t="shared" si="1"/>
        <v>Apr</v>
      </c>
    </row>
    <row r="90" spans="2:10" hidden="1" x14ac:dyDescent="0.25">
      <c r="B90">
        <v>10525</v>
      </c>
      <c r="C90" t="s">
        <v>56</v>
      </c>
      <c r="D90">
        <v>42857</v>
      </c>
      <c r="E90">
        <v>42885</v>
      </c>
      <c r="F90">
        <v>42878</v>
      </c>
      <c r="G90" t="s">
        <v>646</v>
      </c>
      <c r="H90">
        <v>55.300000000000004</v>
      </c>
      <c r="I90" t="s">
        <v>325</v>
      </c>
      <c r="J90" t="str">
        <f t="shared" si="1"/>
        <v>May</v>
      </c>
    </row>
    <row r="91" spans="2:10" hidden="1" x14ac:dyDescent="0.25">
      <c r="B91">
        <v>10663</v>
      </c>
      <c r="C91" t="s">
        <v>56</v>
      </c>
      <c r="D91">
        <v>42988</v>
      </c>
      <c r="E91">
        <v>43002</v>
      </c>
      <c r="F91">
        <v>43011</v>
      </c>
      <c r="G91" t="s">
        <v>646</v>
      </c>
      <c r="H91">
        <v>565.75</v>
      </c>
      <c r="I91" t="s">
        <v>325</v>
      </c>
      <c r="J91" t="str">
        <f t="shared" si="1"/>
        <v>Sep</v>
      </c>
    </row>
    <row r="92" spans="2:10" hidden="1" x14ac:dyDescent="0.25">
      <c r="B92">
        <v>10715</v>
      </c>
      <c r="C92" t="s">
        <v>56</v>
      </c>
      <c r="D92">
        <v>43031</v>
      </c>
      <c r="E92">
        <v>43045</v>
      </c>
      <c r="F92">
        <v>43037</v>
      </c>
      <c r="G92" t="s">
        <v>645</v>
      </c>
      <c r="H92">
        <v>316</v>
      </c>
      <c r="I92" t="s">
        <v>325</v>
      </c>
      <c r="J92" t="str">
        <f t="shared" si="1"/>
        <v>Oct</v>
      </c>
    </row>
    <row r="93" spans="2:10" hidden="1" x14ac:dyDescent="0.25">
      <c r="B93">
        <v>10730</v>
      </c>
      <c r="C93" t="s">
        <v>56</v>
      </c>
      <c r="D93">
        <v>43044</v>
      </c>
      <c r="E93">
        <v>43072</v>
      </c>
      <c r="F93">
        <v>43053</v>
      </c>
      <c r="G93" t="s">
        <v>645</v>
      </c>
      <c r="H93">
        <v>100.60000000000001</v>
      </c>
      <c r="I93" t="s">
        <v>325</v>
      </c>
      <c r="J93" t="str">
        <f t="shared" si="1"/>
        <v>Nov</v>
      </c>
    </row>
    <row r="94" spans="2:10" hidden="1" x14ac:dyDescent="0.25">
      <c r="B94">
        <v>10732</v>
      </c>
      <c r="C94" t="s">
        <v>56</v>
      </c>
      <c r="D94">
        <v>43045</v>
      </c>
      <c r="E94">
        <v>43073</v>
      </c>
      <c r="F94">
        <v>43046</v>
      </c>
      <c r="G94" t="s">
        <v>645</v>
      </c>
      <c r="H94">
        <v>84.85</v>
      </c>
      <c r="I94" t="s">
        <v>325</v>
      </c>
      <c r="J94" t="str">
        <f t="shared" si="1"/>
        <v>Nov</v>
      </c>
    </row>
    <row r="95" spans="2:10" hidden="1" x14ac:dyDescent="0.25">
      <c r="B95">
        <v>10755</v>
      </c>
      <c r="C95" t="s">
        <v>56</v>
      </c>
      <c r="D95">
        <v>43065</v>
      </c>
      <c r="E95">
        <v>43093</v>
      </c>
      <c r="F95">
        <v>43067</v>
      </c>
      <c r="G95" t="s">
        <v>646</v>
      </c>
      <c r="H95">
        <v>83.550000000000011</v>
      </c>
      <c r="I95" t="s">
        <v>325</v>
      </c>
      <c r="J95" t="str">
        <f t="shared" si="1"/>
        <v>Nov</v>
      </c>
    </row>
    <row r="96" spans="2:10" hidden="1" x14ac:dyDescent="0.25">
      <c r="B96">
        <v>10827</v>
      </c>
      <c r="C96" t="s">
        <v>56</v>
      </c>
      <c r="D96">
        <v>43112</v>
      </c>
      <c r="E96">
        <v>43126</v>
      </c>
      <c r="F96">
        <v>43137</v>
      </c>
      <c r="G96" t="s">
        <v>646</v>
      </c>
      <c r="H96">
        <v>317.7</v>
      </c>
      <c r="I96" t="s">
        <v>325</v>
      </c>
      <c r="J96" t="str">
        <f t="shared" si="1"/>
        <v>Jan</v>
      </c>
    </row>
    <row r="97" spans="2:10" hidden="1" x14ac:dyDescent="0.25">
      <c r="B97">
        <v>10871</v>
      </c>
      <c r="C97" t="s">
        <v>56</v>
      </c>
      <c r="D97">
        <v>43136</v>
      </c>
      <c r="E97">
        <v>43164</v>
      </c>
      <c r="F97">
        <v>43141</v>
      </c>
      <c r="G97" t="s">
        <v>646</v>
      </c>
      <c r="H97">
        <v>561.35</v>
      </c>
      <c r="I97" t="s">
        <v>325</v>
      </c>
      <c r="J97" t="str">
        <f t="shared" si="1"/>
        <v>Feb</v>
      </c>
    </row>
    <row r="98" spans="2:10" hidden="1" x14ac:dyDescent="0.25">
      <c r="B98">
        <v>10876</v>
      </c>
      <c r="C98" t="s">
        <v>56</v>
      </c>
      <c r="D98">
        <v>43140</v>
      </c>
      <c r="E98">
        <v>43168</v>
      </c>
      <c r="F98">
        <v>43143</v>
      </c>
      <c r="G98" t="s">
        <v>647</v>
      </c>
      <c r="H98">
        <v>302.10000000000002</v>
      </c>
      <c r="I98" t="s">
        <v>325</v>
      </c>
      <c r="J98" t="str">
        <f t="shared" si="1"/>
        <v>Feb</v>
      </c>
    </row>
    <row r="99" spans="2:10" hidden="1" x14ac:dyDescent="0.25">
      <c r="B99">
        <v>10932</v>
      </c>
      <c r="C99" t="s">
        <v>56</v>
      </c>
      <c r="D99">
        <v>43165</v>
      </c>
      <c r="E99">
        <v>43193</v>
      </c>
      <c r="F99">
        <v>43183</v>
      </c>
      <c r="G99" t="s">
        <v>645</v>
      </c>
      <c r="H99">
        <v>673.19999999999993</v>
      </c>
      <c r="I99" t="s">
        <v>325</v>
      </c>
      <c r="J99" t="str">
        <f t="shared" si="1"/>
        <v>Mar</v>
      </c>
    </row>
    <row r="100" spans="2:10" hidden="1" x14ac:dyDescent="0.25">
      <c r="B100">
        <v>10940</v>
      </c>
      <c r="C100" t="s">
        <v>56</v>
      </c>
      <c r="D100">
        <v>43170</v>
      </c>
      <c r="E100">
        <v>43198</v>
      </c>
      <c r="F100">
        <v>43182</v>
      </c>
      <c r="G100" t="s">
        <v>647</v>
      </c>
      <c r="H100">
        <v>98.85</v>
      </c>
      <c r="I100" t="s">
        <v>325</v>
      </c>
      <c r="J100" t="str">
        <f t="shared" si="1"/>
        <v>Mar</v>
      </c>
    </row>
    <row r="101" spans="2:10" hidden="1" x14ac:dyDescent="0.25">
      <c r="B101">
        <v>11076</v>
      </c>
      <c r="C101" t="s">
        <v>56</v>
      </c>
      <c r="D101">
        <v>43226</v>
      </c>
      <c r="E101">
        <v>43254</v>
      </c>
      <c r="F101"/>
      <c r="G101" t="s">
        <v>646</v>
      </c>
      <c r="H101">
        <v>191.4</v>
      </c>
      <c r="I101" t="s">
        <v>325</v>
      </c>
      <c r="J101" t="str">
        <f t="shared" si="1"/>
        <v>May</v>
      </c>
    </row>
    <row r="102" spans="2:10" hidden="1" x14ac:dyDescent="0.25">
      <c r="B102">
        <v>10389</v>
      </c>
      <c r="C102" t="s">
        <v>59</v>
      </c>
      <c r="D102">
        <v>42724</v>
      </c>
      <c r="E102">
        <v>42752</v>
      </c>
      <c r="F102">
        <v>42728</v>
      </c>
      <c r="G102" t="s">
        <v>646</v>
      </c>
      <c r="H102">
        <v>237.10000000000002</v>
      </c>
      <c r="I102" t="s">
        <v>324</v>
      </c>
      <c r="J102" t="str">
        <f t="shared" si="1"/>
        <v>Dec</v>
      </c>
    </row>
    <row r="103" spans="2:10" hidden="1" x14ac:dyDescent="0.25">
      <c r="B103">
        <v>10410</v>
      </c>
      <c r="C103" t="s">
        <v>59</v>
      </c>
      <c r="D103">
        <v>42745</v>
      </c>
      <c r="E103">
        <v>42773</v>
      </c>
      <c r="F103">
        <v>42750</v>
      </c>
      <c r="G103" t="s">
        <v>647</v>
      </c>
      <c r="H103">
        <v>12</v>
      </c>
      <c r="I103" t="s">
        <v>324</v>
      </c>
      <c r="J103" t="str">
        <f t="shared" si="1"/>
        <v>Jan</v>
      </c>
    </row>
    <row r="104" spans="2:10" hidden="1" x14ac:dyDescent="0.25">
      <c r="B104">
        <v>10411</v>
      </c>
      <c r="C104" t="s">
        <v>59</v>
      </c>
      <c r="D104">
        <v>42745</v>
      </c>
      <c r="E104">
        <v>42773</v>
      </c>
      <c r="F104">
        <v>42756</v>
      </c>
      <c r="G104" t="s">
        <v>647</v>
      </c>
      <c r="H104">
        <v>118.25</v>
      </c>
      <c r="I104" t="s">
        <v>324</v>
      </c>
      <c r="J104" t="str">
        <f t="shared" si="1"/>
        <v>Jan</v>
      </c>
    </row>
    <row r="105" spans="2:10" hidden="1" x14ac:dyDescent="0.25">
      <c r="B105">
        <v>10431</v>
      </c>
      <c r="C105" t="s">
        <v>59</v>
      </c>
      <c r="D105">
        <v>42765</v>
      </c>
      <c r="E105">
        <v>42779</v>
      </c>
      <c r="F105">
        <v>42773</v>
      </c>
      <c r="G105" t="s">
        <v>646</v>
      </c>
      <c r="H105">
        <v>220.85000000000002</v>
      </c>
      <c r="I105" t="s">
        <v>324</v>
      </c>
      <c r="J105" t="str">
        <f t="shared" si="1"/>
        <v>Jan</v>
      </c>
    </row>
    <row r="106" spans="2:10" hidden="1" x14ac:dyDescent="0.25">
      <c r="B106">
        <v>10492</v>
      </c>
      <c r="C106" t="s">
        <v>59</v>
      </c>
      <c r="D106">
        <v>42826</v>
      </c>
      <c r="E106">
        <v>42854</v>
      </c>
      <c r="F106">
        <v>42836</v>
      </c>
      <c r="G106" t="s">
        <v>645</v>
      </c>
      <c r="H106">
        <v>314.45</v>
      </c>
      <c r="I106" t="s">
        <v>324</v>
      </c>
      <c r="J106" t="str">
        <f t="shared" si="1"/>
        <v>Apr</v>
      </c>
    </row>
    <row r="107" spans="2:10" hidden="1" x14ac:dyDescent="0.25">
      <c r="B107">
        <v>10742</v>
      </c>
      <c r="C107" t="s">
        <v>59</v>
      </c>
      <c r="D107">
        <v>43053</v>
      </c>
      <c r="E107">
        <v>43081</v>
      </c>
      <c r="F107">
        <v>43057</v>
      </c>
      <c r="G107" t="s">
        <v>647</v>
      </c>
      <c r="H107">
        <v>1218.6499999999999</v>
      </c>
      <c r="I107" t="s">
        <v>324</v>
      </c>
      <c r="J107" t="str">
        <f t="shared" si="1"/>
        <v>Nov</v>
      </c>
    </row>
    <row r="108" spans="2:10" hidden="1" x14ac:dyDescent="0.25">
      <c r="B108">
        <v>10918</v>
      </c>
      <c r="C108" t="s">
        <v>59</v>
      </c>
      <c r="D108">
        <v>43161</v>
      </c>
      <c r="E108">
        <v>43189</v>
      </c>
      <c r="F108">
        <v>43170</v>
      </c>
      <c r="G108" t="s">
        <v>647</v>
      </c>
      <c r="H108">
        <v>244.14999999999998</v>
      </c>
      <c r="I108" t="s">
        <v>324</v>
      </c>
      <c r="J108" t="str">
        <f t="shared" si="1"/>
        <v>Mar</v>
      </c>
    </row>
    <row r="109" spans="2:10" hidden="1" x14ac:dyDescent="0.25">
      <c r="B109">
        <v>10944</v>
      </c>
      <c r="C109" t="s">
        <v>59</v>
      </c>
      <c r="D109">
        <v>43171</v>
      </c>
      <c r="E109">
        <v>43185</v>
      </c>
      <c r="F109">
        <v>43172</v>
      </c>
      <c r="G109" t="s">
        <v>647</v>
      </c>
      <c r="H109">
        <v>264.60000000000002</v>
      </c>
      <c r="I109" t="s">
        <v>324</v>
      </c>
      <c r="J109" t="str">
        <f t="shared" si="1"/>
        <v>Mar</v>
      </c>
    </row>
    <row r="110" spans="2:10" hidden="1" x14ac:dyDescent="0.25">
      <c r="B110">
        <v>10949</v>
      </c>
      <c r="C110" t="s">
        <v>59</v>
      </c>
      <c r="D110">
        <v>43172</v>
      </c>
      <c r="E110">
        <v>43200</v>
      </c>
      <c r="F110">
        <v>43176</v>
      </c>
      <c r="G110" t="s">
        <v>647</v>
      </c>
      <c r="H110">
        <v>372.2</v>
      </c>
      <c r="I110" t="s">
        <v>324</v>
      </c>
      <c r="J110" t="str">
        <f t="shared" si="1"/>
        <v>Mar</v>
      </c>
    </row>
    <row r="111" spans="2:10" hidden="1" x14ac:dyDescent="0.25">
      <c r="B111">
        <v>10975</v>
      </c>
      <c r="C111" t="s">
        <v>59</v>
      </c>
      <c r="D111">
        <v>43184</v>
      </c>
      <c r="E111">
        <v>43212</v>
      </c>
      <c r="F111">
        <v>43186</v>
      </c>
      <c r="G111" t="s">
        <v>647</v>
      </c>
      <c r="H111">
        <v>161.35000000000002</v>
      </c>
      <c r="I111" t="s">
        <v>324</v>
      </c>
      <c r="J111" t="str">
        <f t="shared" si="1"/>
        <v>Mar</v>
      </c>
    </row>
    <row r="112" spans="2:10" hidden="1" x14ac:dyDescent="0.25">
      <c r="B112">
        <v>10982</v>
      </c>
      <c r="C112" t="s">
        <v>59</v>
      </c>
      <c r="D112">
        <v>43186</v>
      </c>
      <c r="E112">
        <v>43214</v>
      </c>
      <c r="F112">
        <v>43198</v>
      </c>
      <c r="G112" t="s">
        <v>645</v>
      </c>
      <c r="H112">
        <v>70.05</v>
      </c>
      <c r="I112" t="s">
        <v>324</v>
      </c>
      <c r="J112" t="str">
        <f t="shared" si="1"/>
        <v>Mar</v>
      </c>
    </row>
    <row r="113" spans="2:10" hidden="1" x14ac:dyDescent="0.25">
      <c r="B113">
        <v>11027</v>
      </c>
      <c r="C113" t="s">
        <v>59</v>
      </c>
      <c r="D113">
        <v>43206</v>
      </c>
      <c r="E113">
        <v>43234</v>
      </c>
      <c r="F113">
        <v>43210</v>
      </c>
      <c r="G113" t="s">
        <v>645</v>
      </c>
      <c r="H113">
        <v>262.60000000000002</v>
      </c>
      <c r="I113" t="s">
        <v>324</v>
      </c>
      <c r="J113" t="str">
        <f t="shared" si="1"/>
        <v>Apr</v>
      </c>
    </row>
    <row r="114" spans="2:10" hidden="1" x14ac:dyDescent="0.25">
      <c r="B114">
        <v>11045</v>
      </c>
      <c r="C114" t="s">
        <v>59</v>
      </c>
      <c r="D114">
        <v>43213</v>
      </c>
      <c r="E114">
        <v>43241</v>
      </c>
      <c r="F114"/>
      <c r="G114" t="s">
        <v>646</v>
      </c>
      <c r="H114">
        <v>352.9</v>
      </c>
      <c r="I114" t="s">
        <v>324</v>
      </c>
      <c r="J114" t="str">
        <f t="shared" si="1"/>
        <v>Apr</v>
      </c>
    </row>
    <row r="115" spans="2:10" hidden="1" x14ac:dyDescent="0.25">
      <c r="B115">
        <v>11048</v>
      </c>
      <c r="C115" t="s">
        <v>59</v>
      </c>
      <c r="D115">
        <v>43214</v>
      </c>
      <c r="E115">
        <v>43242</v>
      </c>
      <c r="F115">
        <v>43220</v>
      </c>
      <c r="G115" t="s">
        <v>647</v>
      </c>
      <c r="H115">
        <v>120.60000000000001</v>
      </c>
      <c r="I115" t="s">
        <v>324</v>
      </c>
      <c r="J115" t="str">
        <f t="shared" si="1"/>
        <v>Apr</v>
      </c>
    </row>
    <row r="116" spans="2:10" hidden="1" x14ac:dyDescent="0.25">
      <c r="B116">
        <v>10289</v>
      </c>
      <c r="C116" t="s">
        <v>63</v>
      </c>
      <c r="D116">
        <v>42608</v>
      </c>
      <c r="E116">
        <v>42636</v>
      </c>
      <c r="F116">
        <v>42610</v>
      </c>
      <c r="G116" t="s">
        <v>647</v>
      </c>
      <c r="H116">
        <v>113.85</v>
      </c>
      <c r="I116" t="s">
        <v>326</v>
      </c>
      <c r="J116" t="str">
        <f t="shared" si="1"/>
        <v>Aug</v>
      </c>
    </row>
    <row r="117" spans="2:10" hidden="1" x14ac:dyDescent="0.25">
      <c r="B117">
        <v>10471</v>
      </c>
      <c r="C117" t="s">
        <v>63</v>
      </c>
      <c r="D117">
        <v>42805</v>
      </c>
      <c r="E117">
        <v>42833</v>
      </c>
      <c r="F117">
        <v>42812</v>
      </c>
      <c r="G117" t="s">
        <v>647</v>
      </c>
      <c r="H117">
        <v>227.95000000000002</v>
      </c>
      <c r="I117" t="s">
        <v>326</v>
      </c>
      <c r="J117" t="str">
        <f t="shared" si="1"/>
        <v>Mar</v>
      </c>
    </row>
    <row r="118" spans="2:10" hidden="1" x14ac:dyDescent="0.25">
      <c r="B118">
        <v>10484</v>
      </c>
      <c r="C118" t="s">
        <v>63</v>
      </c>
      <c r="D118">
        <v>42818</v>
      </c>
      <c r="E118">
        <v>42846</v>
      </c>
      <c r="F118">
        <v>42826</v>
      </c>
      <c r="G118" t="s">
        <v>647</v>
      </c>
      <c r="H118">
        <v>34.4</v>
      </c>
      <c r="I118" t="s">
        <v>326</v>
      </c>
      <c r="J118" t="str">
        <f t="shared" si="1"/>
        <v>Mar</v>
      </c>
    </row>
    <row r="119" spans="2:10" hidden="1" x14ac:dyDescent="0.25">
      <c r="B119">
        <v>10538</v>
      </c>
      <c r="C119" t="s">
        <v>63</v>
      </c>
      <c r="D119">
        <v>42870</v>
      </c>
      <c r="E119">
        <v>42898</v>
      </c>
      <c r="F119">
        <v>42871</v>
      </c>
      <c r="G119" t="s">
        <v>647</v>
      </c>
      <c r="H119">
        <v>24.35</v>
      </c>
      <c r="I119" t="s">
        <v>326</v>
      </c>
      <c r="J119" t="str">
        <f t="shared" si="1"/>
        <v>May</v>
      </c>
    </row>
    <row r="120" spans="2:10" hidden="1" x14ac:dyDescent="0.25">
      <c r="B120">
        <v>10539</v>
      </c>
      <c r="C120" t="s">
        <v>63</v>
      </c>
      <c r="D120">
        <v>42871</v>
      </c>
      <c r="E120">
        <v>42899</v>
      </c>
      <c r="F120">
        <v>42878</v>
      </c>
      <c r="G120" t="s">
        <v>647</v>
      </c>
      <c r="H120">
        <v>61.8</v>
      </c>
      <c r="I120" t="s">
        <v>326</v>
      </c>
      <c r="J120" t="str">
        <f t="shared" si="1"/>
        <v>May</v>
      </c>
    </row>
    <row r="121" spans="2:10" hidden="1" x14ac:dyDescent="0.25">
      <c r="B121">
        <v>10578</v>
      </c>
      <c r="C121" t="s">
        <v>63</v>
      </c>
      <c r="D121">
        <v>42910</v>
      </c>
      <c r="E121">
        <v>42938</v>
      </c>
      <c r="F121">
        <v>42941</v>
      </c>
      <c r="G121" t="s">
        <v>647</v>
      </c>
      <c r="H121">
        <v>148</v>
      </c>
      <c r="I121" t="s">
        <v>326</v>
      </c>
      <c r="J121" t="str">
        <f t="shared" si="1"/>
        <v>Jun</v>
      </c>
    </row>
    <row r="122" spans="2:10" hidden="1" x14ac:dyDescent="0.25">
      <c r="B122">
        <v>10599</v>
      </c>
      <c r="C122" t="s">
        <v>63</v>
      </c>
      <c r="D122">
        <v>42931</v>
      </c>
      <c r="E122">
        <v>42973</v>
      </c>
      <c r="F122">
        <v>42937</v>
      </c>
      <c r="G122" t="s">
        <v>647</v>
      </c>
      <c r="H122">
        <v>149.9</v>
      </c>
      <c r="I122" t="s">
        <v>326</v>
      </c>
      <c r="J122" t="str">
        <f t="shared" si="1"/>
        <v>Jul</v>
      </c>
    </row>
    <row r="123" spans="2:10" hidden="1" x14ac:dyDescent="0.25">
      <c r="B123">
        <v>10943</v>
      </c>
      <c r="C123" t="s">
        <v>63</v>
      </c>
      <c r="D123">
        <v>43170</v>
      </c>
      <c r="E123">
        <v>43198</v>
      </c>
      <c r="F123">
        <v>43178</v>
      </c>
      <c r="G123" t="s">
        <v>646</v>
      </c>
      <c r="H123">
        <v>10.85</v>
      </c>
      <c r="I123" t="s">
        <v>326</v>
      </c>
      <c r="J123" t="str">
        <f t="shared" si="1"/>
        <v>Mar</v>
      </c>
    </row>
    <row r="124" spans="2:10" hidden="1" x14ac:dyDescent="0.25">
      <c r="B124">
        <v>10947</v>
      </c>
      <c r="C124" t="s">
        <v>63</v>
      </c>
      <c r="D124">
        <v>43172</v>
      </c>
      <c r="E124">
        <v>43200</v>
      </c>
      <c r="F124">
        <v>43175</v>
      </c>
      <c r="G124" t="s">
        <v>646</v>
      </c>
      <c r="H124">
        <v>16.299999999999997</v>
      </c>
      <c r="I124" t="s">
        <v>326</v>
      </c>
      <c r="J124" t="str">
        <f t="shared" si="1"/>
        <v>Mar</v>
      </c>
    </row>
    <row r="125" spans="2:10" hidden="1" x14ac:dyDescent="0.25">
      <c r="B125">
        <v>11023</v>
      </c>
      <c r="C125" t="s">
        <v>63</v>
      </c>
      <c r="D125">
        <v>43204</v>
      </c>
      <c r="E125">
        <v>43218</v>
      </c>
      <c r="F125">
        <v>43214</v>
      </c>
      <c r="G125" t="s">
        <v>646</v>
      </c>
      <c r="H125">
        <v>619.15</v>
      </c>
      <c r="I125" t="s">
        <v>326</v>
      </c>
      <c r="J125" t="str">
        <f t="shared" si="1"/>
        <v>Apr</v>
      </c>
    </row>
    <row r="126" spans="2:10" hidden="1" x14ac:dyDescent="0.25">
      <c r="B126">
        <v>10521</v>
      </c>
      <c r="C126" t="s">
        <v>65</v>
      </c>
      <c r="D126">
        <v>42854</v>
      </c>
      <c r="E126">
        <v>42882</v>
      </c>
      <c r="F126">
        <v>42857</v>
      </c>
      <c r="G126" t="s">
        <v>646</v>
      </c>
      <c r="H126">
        <v>86.1</v>
      </c>
      <c r="I126" t="s">
        <v>327</v>
      </c>
      <c r="J126" t="str">
        <f t="shared" si="1"/>
        <v>Apr</v>
      </c>
    </row>
    <row r="127" spans="2:10" hidden="1" x14ac:dyDescent="0.25">
      <c r="B127">
        <v>10782</v>
      </c>
      <c r="C127" t="s">
        <v>65</v>
      </c>
      <c r="D127">
        <v>43086</v>
      </c>
      <c r="E127">
        <v>43114</v>
      </c>
      <c r="F127">
        <v>43091</v>
      </c>
      <c r="G127" t="s">
        <v>647</v>
      </c>
      <c r="H127">
        <v>5.5</v>
      </c>
      <c r="I127" t="s">
        <v>327</v>
      </c>
      <c r="J127" t="str">
        <f t="shared" si="1"/>
        <v>Dec</v>
      </c>
    </row>
    <row r="128" spans="2:10" hidden="1" x14ac:dyDescent="0.25">
      <c r="B128">
        <v>10819</v>
      </c>
      <c r="C128" t="s">
        <v>65</v>
      </c>
      <c r="D128">
        <v>43107</v>
      </c>
      <c r="E128">
        <v>43135</v>
      </c>
      <c r="F128">
        <v>43116</v>
      </c>
      <c r="G128" t="s">
        <v>647</v>
      </c>
      <c r="H128">
        <v>98.800000000000011</v>
      </c>
      <c r="I128" t="s">
        <v>327</v>
      </c>
      <c r="J128" t="str">
        <f t="shared" si="1"/>
        <v>Jan</v>
      </c>
    </row>
    <row r="129" spans="2:10" hidden="1" x14ac:dyDescent="0.25">
      <c r="B129">
        <v>10881</v>
      </c>
      <c r="C129" t="s">
        <v>65</v>
      </c>
      <c r="D129">
        <v>43142</v>
      </c>
      <c r="E129">
        <v>43170</v>
      </c>
      <c r="F129">
        <v>43149</v>
      </c>
      <c r="G129" t="s">
        <v>645</v>
      </c>
      <c r="H129">
        <v>14.2</v>
      </c>
      <c r="I129" t="s">
        <v>327</v>
      </c>
      <c r="J129" t="str">
        <f t="shared" si="1"/>
        <v>Feb</v>
      </c>
    </row>
    <row r="130" spans="2:10" hidden="1" x14ac:dyDescent="0.25">
      <c r="B130">
        <v>10937</v>
      </c>
      <c r="C130" t="s">
        <v>65</v>
      </c>
      <c r="D130">
        <v>43169</v>
      </c>
      <c r="E130">
        <v>43183</v>
      </c>
      <c r="F130">
        <v>43172</v>
      </c>
      <c r="G130" t="s">
        <v>647</v>
      </c>
      <c r="H130">
        <v>157.55000000000001</v>
      </c>
      <c r="I130" t="s">
        <v>327</v>
      </c>
      <c r="J130" t="str">
        <f t="shared" si="1"/>
        <v>Mar</v>
      </c>
    </row>
    <row r="131" spans="2:10" hidden="1" x14ac:dyDescent="0.25">
      <c r="B131">
        <v>11054</v>
      </c>
      <c r="C131" t="s">
        <v>65</v>
      </c>
      <c r="D131">
        <v>43218</v>
      </c>
      <c r="E131">
        <v>43246</v>
      </c>
      <c r="F131"/>
      <c r="G131" t="s">
        <v>645</v>
      </c>
      <c r="H131">
        <v>1.6500000000000001</v>
      </c>
      <c r="I131" t="s">
        <v>327</v>
      </c>
      <c r="J131" t="str">
        <f t="shared" si="1"/>
        <v>Apr</v>
      </c>
    </row>
    <row r="132" spans="2:10" hidden="1" x14ac:dyDescent="0.25">
      <c r="B132">
        <v>10259</v>
      </c>
      <c r="C132" t="s">
        <v>69</v>
      </c>
      <c r="D132">
        <v>42569</v>
      </c>
      <c r="E132">
        <v>42597</v>
      </c>
      <c r="F132">
        <v>42576</v>
      </c>
      <c r="G132" t="s">
        <v>647</v>
      </c>
      <c r="H132">
        <v>16.25</v>
      </c>
      <c r="I132" t="s">
        <v>328</v>
      </c>
      <c r="J132" t="str">
        <f t="shared" si="1"/>
        <v>Jul</v>
      </c>
    </row>
    <row r="133" spans="2:10" hidden="1" x14ac:dyDescent="0.25">
      <c r="B133">
        <v>10254</v>
      </c>
      <c r="C133" t="s">
        <v>72</v>
      </c>
      <c r="D133">
        <v>42562</v>
      </c>
      <c r="E133">
        <v>42590</v>
      </c>
      <c r="F133">
        <v>42574</v>
      </c>
      <c r="G133" t="s">
        <v>646</v>
      </c>
      <c r="H133">
        <v>114.9</v>
      </c>
      <c r="I133" t="s">
        <v>329</v>
      </c>
      <c r="J133" t="str">
        <f t="shared" si="1"/>
        <v>Jul</v>
      </c>
    </row>
    <row r="134" spans="2:10" hidden="1" x14ac:dyDescent="0.25">
      <c r="B134">
        <v>10370</v>
      </c>
      <c r="C134" t="s">
        <v>72</v>
      </c>
      <c r="D134">
        <v>42707</v>
      </c>
      <c r="E134">
        <v>42735</v>
      </c>
      <c r="F134">
        <v>42731</v>
      </c>
      <c r="G134" t="s">
        <v>646</v>
      </c>
      <c r="H134">
        <v>5.85</v>
      </c>
      <c r="I134" t="s">
        <v>329</v>
      </c>
      <c r="J134" t="str">
        <f t="shared" si="1"/>
        <v>Dec</v>
      </c>
    </row>
    <row r="135" spans="2:10" hidden="1" x14ac:dyDescent="0.25">
      <c r="B135">
        <v>10519</v>
      </c>
      <c r="C135" t="s">
        <v>72</v>
      </c>
      <c r="D135">
        <v>42853</v>
      </c>
      <c r="E135">
        <v>42881</v>
      </c>
      <c r="F135">
        <v>42856</v>
      </c>
      <c r="G135" t="s">
        <v>647</v>
      </c>
      <c r="H135">
        <v>458.8</v>
      </c>
      <c r="I135" t="s">
        <v>329</v>
      </c>
      <c r="J135" t="str">
        <f t="shared" si="1"/>
        <v>Apr</v>
      </c>
    </row>
    <row r="136" spans="2:10" hidden="1" x14ac:dyDescent="0.25">
      <c r="B136">
        <v>10731</v>
      </c>
      <c r="C136" t="s">
        <v>72</v>
      </c>
      <c r="D136">
        <v>43045</v>
      </c>
      <c r="E136">
        <v>43073</v>
      </c>
      <c r="F136">
        <v>43053</v>
      </c>
      <c r="G136" t="s">
        <v>645</v>
      </c>
      <c r="H136">
        <v>483.25</v>
      </c>
      <c r="I136" t="s">
        <v>329</v>
      </c>
      <c r="J136" t="str">
        <f t="shared" si="1"/>
        <v>Nov</v>
      </c>
    </row>
    <row r="137" spans="2:10" hidden="1" x14ac:dyDescent="0.25">
      <c r="B137">
        <v>10746</v>
      </c>
      <c r="C137" t="s">
        <v>72</v>
      </c>
      <c r="D137">
        <v>43058</v>
      </c>
      <c r="E137">
        <v>43086</v>
      </c>
      <c r="F137">
        <v>43060</v>
      </c>
      <c r="G137" t="s">
        <v>647</v>
      </c>
      <c r="H137">
        <v>157.15</v>
      </c>
      <c r="I137" t="s">
        <v>329</v>
      </c>
      <c r="J137" t="str">
        <f t="shared" si="1"/>
        <v>Nov</v>
      </c>
    </row>
    <row r="138" spans="2:10" hidden="1" x14ac:dyDescent="0.25">
      <c r="B138">
        <v>10966</v>
      </c>
      <c r="C138" t="s">
        <v>72</v>
      </c>
      <c r="D138">
        <v>43179</v>
      </c>
      <c r="E138">
        <v>43207</v>
      </c>
      <c r="F138">
        <v>43198</v>
      </c>
      <c r="G138" t="s">
        <v>645</v>
      </c>
      <c r="H138">
        <v>135.95000000000002</v>
      </c>
      <c r="I138" t="s">
        <v>329</v>
      </c>
      <c r="J138" t="str">
        <f t="shared" si="1"/>
        <v>Mar</v>
      </c>
    </row>
    <row r="139" spans="2:10" hidden="1" x14ac:dyDescent="0.25">
      <c r="B139">
        <v>11029</v>
      </c>
      <c r="C139" t="s">
        <v>72</v>
      </c>
      <c r="D139">
        <v>43206</v>
      </c>
      <c r="E139">
        <v>43234</v>
      </c>
      <c r="F139">
        <v>43217</v>
      </c>
      <c r="G139" t="s">
        <v>645</v>
      </c>
      <c r="H139">
        <v>239.20000000000002</v>
      </c>
      <c r="I139" t="s">
        <v>329</v>
      </c>
      <c r="J139" t="str">
        <f t="shared" si="1"/>
        <v>Apr</v>
      </c>
    </row>
    <row r="140" spans="2:10" hidden="1" x14ac:dyDescent="0.25">
      <c r="B140">
        <v>11041</v>
      </c>
      <c r="C140" t="s">
        <v>72</v>
      </c>
      <c r="D140">
        <v>43212</v>
      </c>
      <c r="E140">
        <v>43240</v>
      </c>
      <c r="F140">
        <v>43218</v>
      </c>
      <c r="G140" t="s">
        <v>646</v>
      </c>
      <c r="H140">
        <v>241.1</v>
      </c>
      <c r="I140" t="s">
        <v>329</v>
      </c>
      <c r="J140" t="str">
        <f t="shared" si="1"/>
        <v>Apr</v>
      </c>
    </row>
    <row r="141" spans="2:10" hidden="1" x14ac:dyDescent="0.25">
      <c r="B141">
        <v>10290</v>
      </c>
      <c r="C141" t="s">
        <v>74</v>
      </c>
      <c r="D141">
        <v>42609</v>
      </c>
      <c r="E141">
        <v>42637</v>
      </c>
      <c r="F141">
        <v>42616</v>
      </c>
      <c r="G141" t="s">
        <v>645</v>
      </c>
      <c r="H141">
        <v>398.5</v>
      </c>
      <c r="I141" t="s">
        <v>330</v>
      </c>
      <c r="J141" t="str">
        <f t="shared" si="1"/>
        <v>Aug</v>
      </c>
    </row>
    <row r="142" spans="2:10" hidden="1" x14ac:dyDescent="0.25">
      <c r="B142">
        <v>10466</v>
      </c>
      <c r="C142" t="s">
        <v>74</v>
      </c>
      <c r="D142">
        <v>42800</v>
      </c>
      <c r="E142">
        <v>42828</v>
      </c>
      <c r="F142">
        <v>42807</v>
      </c>
      <c r="G142" t="s">
        <v>645</v>
      </c>
      <c r="H142">
        <v>59.65</v>
      </c>
      <c r="I142" t="s">
        <v>330</v>
      </c>
      <c r="J142" t="str">
        <f t="shared" si="1"/>
        <v>Mar</v>
      </c>
    </row>
    <row r="143" spans="2:10" hidden="1" x14ac:dyDescent="0.25">
      <c r="B143">
        <v>10494</v>
      </c>
      <c r="C143" t="s">
        <v>74</v>
      </c>
      <c r="D143">
        <v>42827</v>
      </c>
      <c r="E143">
        <v>42855</v>
      </c>
      <c r="F143">
        <v>42834</v>
      </c>
      <c r="G143" t="s">
        <v>646</v>
      </c>
      <c r="H143">
        <v>329.95</v>
      </c>
      <c r="I143" t="s">
        <v>330</v>
      </c>
      <c r="J143" t="str">
        <f t="shared" si="1"/>
        <v>Apr</v>
      </c>
    </row>
    <row r="144" spans="2:10" hidden="1" x14ac:dyDescent="0.25">
      <c r="B144">
        <v>10969</v>
      </c>
      <c r="C144" t="s">
        <v>74</v>
      </c>
      <c r="D144">
        <v>43182</v>
      </c>
      <c r="E144">
        <v>43210</v>
      </c>
      <c r="F144">
        <v>43189</v>
      </c>
      <c r="G144" t="s">
        <v>646</v>
      </c>
      <c r="H144">
        <v>1.05</v>
      </c>
      <c r="I144" t="s">
        <v>330</v>
      </c>
      <c r="J144" t="str">
        <f t="shared" si="1"/>
        <v>Mar</v>
      </c>
    </row>
    <row r="145" spans="2:10" hidden="1" x14ac:dyDescent="0.25">
      <c r="B145">
        <v>11042</v>
      </c>
      <c r="C145" t="s">
        <v>74</v>
      </c>
      <c r="D145">
        <v>43212</v>
      </c>
      <c r="E145">
        <v>43226</v>
      </c>
      <c r="F145">
        <v>43221</v>
      </c>
      <c r="G145" t="s">
        <v>645</v>
      </c>
      <c r="H145">
        <v>149.94999999999999</v>
      </c>
      <c r="I145" t="s">
        <v>330</v>
      </c>
      <c r="J145" t="str">
        <f t="shared" ref="J145:J208" si="2">TEXT(D145,"mmm")</f>
        <v>Apr</v>
      </c>
    </row>
    <row r="146" spans="2:10" hidden="1" x14ac:dyDescent="0.25">
      <c r="B146">
        <v>10435</v>
      </c>
      <c r="C146" t="s">
        <v>78</v>
      </c>
      <c r="D146">
        <v>42770</v>
      </c>
      <c r="E146">
        <v>42812</v>
      </c>
      <c r="F146">
        <v>42773</v>
      </c>
      <c r="G146" t="s">
        <v>646</v>
      </c>
      <c r="H146">
        <v>46.050000000000004</v>
      </c>
      <c r="I146" t="s">
        <v>17</v>
      </c>
      <c r="J146" t="str">
        <f t="shared" si="2"/>
        <v>Feb</v>
      </c>
    </row>
    <row r="147" spans="2:10" hidden="1" x14ac:dyDescent="0.25">
      <c r="B147">
        <v>10462</v>
      </c>
      <c r="C147" t="s">
        <v>78</v>
      </c>
      <c r="D147">
        <v>42797</v>
      </c>
      <c r="E147">
        <v>42825</v>
      </c>
      <c r="F147">
        <v>42812</v>
      </c>
      <c r="G147" t="s">
        <v>645</v>
      </c>
      <c r="H147">
        <v>30.85</v>
      </c>
      <c r="I147" t="s">
        <v>17</v>
      </c>
      <c r="J147" t="str">
        <f t="shared" si="2"/>
        <v>Mar</v>
      </c>
    </row>
    <row r="148" spans="2:10" hidden="1" x14ac:dyDescent="0.25">
      <c r="B148">
        <v>10848</v>
      </c>
      <c r="C148" t="s">
        <v>78</v>
      </c>
      <c r="D148">
        <v>43123</v>
      </c>
      <c r="E148">
        <v>43151</v>
      </c>
      <c r="F148">
        <v>43129</v>
      </c>
      <c r="G148" t="s">
        <v>646</v>
      </c>
      <c r="H148">
        <v>191.20000000000002</v>
      </c>
      <c r="I148" t="s">
        <v>17</v>
      </c>
      <c r="J148" t="str">
        <f t="shared" si="2"/>
        <v>Jan</v>
      </c>
    </row>
    <row r="149" spans="2:10" hidden="1" x14ac:dyDescent="0.25">
      <c r="B149">
        <v>10363</v>
      </c>
      <c r="C149" t="s">
        <v>81</v>
      </c>
      <c r="D149">
        <v>42700</v>
      </c>
      <c r="E149">
        <v>42728</v>
      </c>
      <c r="F149">
        <v>42708</v>
      </c>
      <c r="G149" t="s">
        <v>647</v>
      </c>
      <c r="H149">
        <v>152.69999999999999</v>
      </c>
      <c r="I149" t="s">
        <v>331</v>
      </c>
      <c r="J149" t="str">
        <f t="shared" si="2"/>
        <v>Nov</v>
      </c>
    </row>
    <row r="150" spans="2:10" hidden="1" x14ac:dyDescent="0.25">
      <c r="B150">
        <v>10391</v>
      </c>
      <c r="C150" t="s">
        <v>81</v>
      </c>
      <c r="D150">
        <v>42727</v>
      </c>
      <c r="E150">
        <v>42755</v>
      </c>
      <c r="F150">
        <v>42735</v>
      </c>
      <c r="G150" t="s">
        <v>647</v>
      </c>
      <c r="H150">
        <v>27.25</v>
      </c>
      <c r="I150" t="s">
        <v>331</v>
      </c>
      <c r="J150" t="str">
        <f t="shared" si="2"/>
        <v>Dec</v>
      </c>
    </row>
    <row r="151" spans="2:10" hidden="1" x14ac:dyDescent="0.25">
      <c r="B151">
        <v>10797</v>
      </c>
      <c r="C151" t="s">
        <v>81</v>
      </c>
      <c r="D151">
        <v>43094</v>
      </c>
      <c r="E151">
        <v>43122</v>
      </c>
      <c r="F151">
        <v>43105</v>
      </c>
      <c r="G151" t="s">
        <v>646</v>
      </c>
      <c r="H151">
        <v>166.75</v>
      </c>
      <c r="I151" t="s">
        <v>331</v>
      </c>
      <c r="J151" t="str">
        <f t="shared" si="2"/>
        <v>Dec</v>
      </c>
    </row>
    <row r="152" spans="2:10" hidden="1" x14ac:dyDescent="0.25">
      <c r="B152">
        <v>10825</v>
      </c>
      <c r="C152" t="s">
        <v>81</v>
      </c>
      <c r="D152">
        <v>43109</v>
      </c>
      <c r="E152">
        <v>43137</v>
      </c>
      <c r="F152">
        <v>43114</v>
      </c>
      <c r="G152" t="s">
        <v>645</v>
      </c>
      <c r="H152">
        <v>396.25</v>
      </c>
      <c r="I152" t="s">
        <v>331</v>
      </c>
      <c r="J152" t="str">
        <f t="shared" si="2"/>
        <v>Jan</v>
      </c>
    </row>
    <row r="153" spans="2:10" hidden="1" x14ac:dyDescent="0.25">
      <c r="B153">
        <v>11036</v>
      </c>
      <c r="C153" t="s">
        <v>81</v>
      </c>
      <c r="D153">
        <v>43210</v>
      </c>
      <c r="E153">
        <v>43238</v>
      </c>
      <c r="F153">
        <v>43212</v>
      </c>
      <c r="G153" t="s">
        <v>647</v>
      </c>
      <c r="H153">
        <v>747.35</v>
      </c>
      <c r="I153" t="s">
        <v>331</v>
      </c>
      <c r="J153" t="str">
        <f t="shared" si="2"/>
        <v>Apr</v>
      </c>
    </row>
    <row r="154" spans="2:10" hidden="1" x14ac:dyDescent="0.25">
      <c r="B154">
        <v>11067</v>
      </c>
      <c r="C154" t="s">
        <v>81</v>
      </c>
      <c r="D154">
        <v>43224</v>
      </c>
      <c r="E154">
        <v>43238</v>
      </c>
      <c r="F154">
        <v>43226</v>
      </c>
      <c r="G154" t="s">
        <v>646</v>
      </c>
      <c r="H154">
        <v>39.900000000000006</v>
      </c>
      <c r="I154" t="s">
        <v>331</v>
      </c>
      <c r="J154" t="str">
        <f t="shared" si="2"/>
        <v>May</v>
      </c>
    </row>
    <row r="155" spans="2:10" hidden="1" x14ac:dyDescent="0.25">
      <c r="B155">
        <v>10311</v>
      </c>
      <c r="C155" t="s">
        <v>84</v>
      </c>
      <c r="D155">
        <v>42633</v>
      </c>
      <c r="E155">
        <v>42647</v>
      </c>
      <c r="F155">
        <v>42639</v>
      </c>
      <c r="G155" t="s">
        <v>647</v>
      </c>
      <c r="H155">
        <v>123.45</v>
      </c>
      <c r="I155" t="s">
        <v>332</v>
      </c>
      <c r="J155" t="str">
        <f t="shared" si="2"/>
        <v>Sep</v>
      </c>
    </row>
    <row r="156" spans="2:10" hidden="1" x14ac:dyDescent="0.25">
      <c r="B156">
        <v>10609</v>
      </c>
      <c r="C156" t="s">
        <v>84</v>
      </c>
      <c r="D156">
        <v>42940</v>
      </c>
      <c r="E156">
        <v>42968</v>
      </c>
      <c r="F156">
        <v>42946</v>
      </c>
      <c r="G156" t="s">
        <v>646</v>
      </c>
      <c r="H156">
        <v>9.25</v>
      </c>
      <c r="I156" t="s">
        <v>332</v>
      </c>
      <c r="J156" t="str">
        <f t="shared" si="2"/>
        <v>Jul</v>
      </c>
    </row>
    <row r="157" spans="2:10" hidden="1" x14ac:dyDescent="0.25">
      <c r="B157">
        <v>10683</v>
      </c>
      <c r="C157" t="s">
        <v>84</v>
      </c>
      <c r="D157">
        <v>43004</v>
      </c>
      <c r="E157">
        <v>43032</v>
      </c>
      <c r="F157">
        <v>43009</v>
      </c>
      <c r="G157" t="s">
        <v>645</v>
      </c>
      <c r="H157">
        <v>22</v>
      </c>
      <c r="I157" t="s">
        <v>332</v>
      </c>
      <c r="J157" t="str">
        <f t="shared" si="2"/>
        <v>Sep</v>
      </c>
    </row>
    <row r="158" spans="2:10" hidden="1" x14ac:dyDescent="0.25">
      <c r="B158">
        <v>10890</v>
      </c>
      <c r="C158" t="s">
        <v>84</v>
      </c>
      <c r="D158">
        <v>43147</v>
      </c>
      <c r="E158">
        <v>43175</v>
      </c>
      <c r="F158">
        <v>43149</v>
      </c>
      <c r="G158" t="s">
        <v>645</v>
      </c>
      <c r="H158">
        <v>163.79999999999998</v>
      </c>
      <c r="I158" t="s">
        <v>332</v>
      </c>
      <c r="J158" t="str">
        <f t="shared" si="2"/>
        <v>Feb</v>
      </c>
    </row>
    <row r="159" spans="2:10" hidden="1" x14ac:dyDescent="0.25">
      <c r="B159">
        <v>10364</v>
      </c>
      <c r="C159" t="s">
        <v>87</v>
      </c>
      <c r="D159">
        <v>42700</v>
      </c>
      <c r="E159">
        <v>42742</v>
      </c>
      <c r="F159">
        <v>42708</v>
      </c>
      <c r="G159" t="s">
        <v>645</v>
      </c>
      <c r="H159">
        <v>359.85</v>
      </c>
      <c r="I159" t="s">
        <v>16</v>
      </c>
      <c r="J159" t="str">
        <f t="shared" si="2"/>
        <v>Nov</v>
      </c>
    </row>
    <row r="160" spans="2:10" hidden="1" x14ac:dyDescent="0.25">
      <c r="B160">
        <v>10400</v>
      </c>
      <c r="C160" t="s">
        <v>87</v>
      </c>
      <c r="D160">
        <v>42736</v>
      </c>
      <c r="E160">
        <v>42764</v>
      </c>
      <c r="F160">
        <v>42751</v>
      </c>
      <c r="G160" t="s">
        <v>647</v>
      </c>
      <c r="H160">
        <v>419.65000000000003</v>
      </c>
      <c r="I160" t="s">
        <v>16</v>
      </c>
      <c r="J160" t="str">
        <f t="shared" si="2"/>
        <v>Jan</v>
      </c>
    </row>
    <row r="161" spans="2:10" hidden="1" x14ac:dyDescent="0.25">
      <c r="B161">
        <v>10532</v>
      </c>
      <c r="C161" t="s">
        <v>87</v>
      </c>
      <c r="D161">
        <v>42864</v>
      </c>
      <c r="E161">
        <v>42892</v>
      </c>
      <c r="F161">
        <v>42867</v>
      </c>
      <c r="G161" t="s">
        <v>647</v>
      </c>
      <c r="H161">
        <v>372.29999999999995</v>
      </c>
      <c r="I161" t="s">
        <v>16</v>
      </c>
      <c r="J161" t="str">
        <f t="shared" si="2"/>
        <v>May</v>
      </c>
    </row>
    <row r="162" spans="2:10" hidden="1" x14ac:dyDescent="0.25">
      <c r="B162">
        <v>10726</v>
      </c>
      <c r="C162" t="s">
        <v>87</v>
      </c>
      <c r="D162">
        <v>43042</v>
      </c>
      <c r="E162">
        <v>43056</v>
      </c>
      <c r="F162">
        <v>43074</v>
      </c>
      <c r="G162" t="s">
        <v>645</v>
      </c>
      <c r="H162">
        <v>82.8</v>
      </c>
      <c r="I162" t="s">
        <v>16</v>
      </c>
      <c r="J162" t="str">
        <f t="shared" si="2"/>
        <v>Nov</v>
      </c>
    </row>
    <row r="163" spans="2:10" hidden="1" x14ac:dyDescent="0.25">
      <c r="B163">
        <v>10987</v>
      </c>
      <c r="C163" t="s">
        <v>87</v>
      </c>
      <c r="D163">
        <v>43190</v>
      </c>
      <c r="E163">
        <v>43218</v>
      </c>
      <c r="F163">
        <v>43196</v>
      </c>
      <c r="G163" t="s">
        <v>645</v>
      </c>
      <c r="H163">
        <v>927.4</v>
      </c>
      <c r="I163" t="s">
        <v>16</v>
      </c>
      <c r="J163" t="str">
        <f t="shared" si="2"/>
        <v>Mar</v>
      </c>
    </row>
    <row r="164" spans="2:10" hidden="1" x14ac:dyDescent="0.25">
      <c r="B164">
        <v>11024</v>
      </c>
      <c r="C164" t="s">
        <v>87</v>
      </c>
      <c r="D164">
        <v>43205</v>
      </c>
      <c r="E164">
        <v>43233</v>
      </c>
      <c r="F164">
        <v>43210</v>
      </c>
      <c r="G164" t="s">
        <v>645</v>
      </c>
      <c r="H164">
        <v>371.8</v>
      </c>
      <c r="I164" t="s">
        <v>16</v>
      </c>
      <c r="J164" t="str">
        <f t="shared" si="2"/>
        <v>Apr</v>
      </c>
    </row>
    <row r="165" spans="2:10" hidden="1" x14ac:dyDescent="0.25">
      <c r="B165">
        <v>11047</v>
      </c>
      <c r="C165" t="s">
        <v>87</v>
      </c>
      <c r="D165">
        <v>43214</v>
      </c>
      <c r="E165">
        <v>43242</v>
      </c>
      <c r="F165">
        <v>43221</v>
      </c>
      <c r="G165" t="s">
        <v>647</v>
      </c>
      <c r="H165">
        <v>233.1</v>
      </c>
      <c r="I165" t="s">
        <v>16</v>
      </c>
      <c r="J165" t="str">
        <f t="shared" si="2"/>
        <v>Apr</v>
      </c>
    </row>
    <row r="166" spans="2:10" hidden="1" x14ac:dyDescent="0.25">
      <c r="B166">
        <v>11056</v>
      </c>
      <c r="C166" t="s">
        <v>87</v>
      </c>
      <c r="D166">
        <v>43218</v>
      </c>
      <c r="E166">
        <v>43232</v>
      </c>
      <c r="F166">
        <v>43221</v>
      </c>
      <c r="G166" t="s">
        <v>646</v>
      </c>
      <c r="H166">
        <v>1394.8</v>
      </c>
      <c r="I166" t="s">
        <v>16</v>
      </c>
      <c r="J166" t="str">
        <f t="shared" si="2"/>
        <v>Apr</v>
      </c>
    </row>
    <row r="167" spans="2:10" hidden="1" x14ac:dyDescent="0.25">
      <c r="B167">
        <v>10258</v>
      </c>
      <c r="C167" t="s">
        <v>90</v>
      </c>
      <c r="D167">
        <v>42568</v>
      </c>
      <c r="E167">
        <v>42596</v>
      </c>
      <c r="F167">
        <v>42574</v>
      </c>
      <c r="G167" t="s">
        <v>645</v>
      </c>
      <c r="H167">
        <v>702.55</v>
      </c>
      <c r="I167" t="s">
        <v>15</v>
      </c>
      <c r="J167" t="str">
        <f t="shared" si="2"/>
        <v>Jul</v>
      </c>
    </row>
    <row r="168" spans="2:10" hidden="1" x14ac:dyDescent="0.25">
      <c r="B168">
        <v>10263</v>
      </c>
      <c r="C168" t="s">
        <v>90</v>
      </c>
      <c r="D168">
        <v>42574</v>
      </c>
      <c r="E168">
        <v>42602</v>
      </c>
      <c r="F168">
        <v>42582</v>
      </c>
      <c r="G168" t="s">
        <v>647</v>
      </c>
      <c r="H168">
        <v>730.3</v>
      </c>
      <c r="I168" t="s">
        <v>15</v>
      </c>
      <c r="J168" t="str">
        <f t="shared" si="2"/>
        <v>Jul</v>
      </c>
    </row>
    <row r="169" spans="2:10" hidden="1" x14ac:dyDescent="0.25">
      <c r="B169">
        <v>10351</v>
      </c>
      <c r="C169" t="s">
        <v>90</v>
      </c>
      <c r="D169">
        <v>42685</v>
      </c>
      <c r="E169">
        <v>42713</v>
      </c>
      <c r="F169">
        <v>42694</v>
      </c>
      <c r="G169" t="s">
        <v>645</v>
      </c>
      <c r="H169">
        <v>811.65000000000009</v>
      </c>
      <c r="I169" t="s">
        <v>15</v>
      </c>
      <c r="J169" t="str">
        <f t="shared" si="2"/>
        <v>Nov</v>
      </c>
    </row>
    <row r="170" spans="2:10" hidden="1" x14ac:dyDescent="0.25">
      <c r="B170">
        <v>10368</v>
      </c>
      <c r="C170" t="s">
        <v>90</v>
      </c>
      <c r="D170">
        <v>42703</v>
      </c>
      <c r="E170">
        <v>42731</v>
      </c>
      <c r="F170">
        <v>42706</v>
      </c>
      <c r="G170" t="s">
        <v>646</v>
      </c>
      <c r="H170">
        <v>509.75</v>
      </c>
      <c r="I170" t="s">
        <v>15</v>
      </c>
      <c r="J170" t="str">
        <f t="shared" si="2"/>
        <v>Nov</v>
      </c>
    </row>
    <row r="171" spans="2:10" hidden="1" x14ac:dyDescent="0.25">
      <c r="B171">
        <v>10382</v>
      </c>
      <c r="C171" t="s">
        <v>90</v>
      </c>
      <c r="D171">
        <v>42717</v>
      </c>
      <c r="E171">
        <v>42745</v>
      </c>
      <c r="F171">
        <v>42720</v>
      </c>
      <c r="G171" t="s">
        <v>645</v>
      </c>
      <c r="H171">
        <v>473.84999999999997</v>
      </c>
      <c r="I171" t="s">
        <v>15</v>
      </c>
      <c r="J171" t="str">
        <f t="shared" si="2"/>
        <v>Dec</v>
      </c>
    </row>
    <row r="172" spans="2:10" hidden="1" x14ac:dyDescent="0.25">
      <c r="B172">
        <v>10390</v>
      </c>
      <c r="C172" t="s">
        <v>90</v>
      </c>
      <c r="D172">
        <v>42727</v>
      </c>
      <c r="E172">
        <v>42755</v>
      </c>
      <c r="F172">
        <v>42730</v>
      </c>
      <c r="G172" t="s">
        <v>645</v>
      </c>
      <c r="H172">
        <v>631.9</v>
      </c>
      <c r="I172" t="s">
        <v>15</v>
      </c>
      <c r="J172" t="str">
        <f t="shared" si="2"/>
        <v>Dec</v>
      </c>
    </row>
    <row r="173" spans="2:10" hidden="1" x14ac:dyDescent="0.25">
      <c r="B173">
        <v>10402</v>
      </c>
      <c r="C173" t="s">
        <v>90</v>
      </c>
      <c r="D173">
        <v>42737</v>
      </c>
      <c r="E173">
        <v>42779</v>
      </c>
      <c r="F173">
        <v>42745</v>
      </c>
      <c r="G173" t="s">
        <v>646</v>
      </c>
      <c r="H173">
        <v>339.4</v>
      </c>
      <c r="I173" t="s">
        <v>15</v>
      </c>
      <c r="J173" t="str">
        <f t="shared" si="2"/>
        <v>Jan</v>
      </c>
    </row>
    <row r="174" spans="2:10" hidden="1" x14ac:dyDescent="0.25">
      <c r="B174">
        <v>10403</v>
      </c>
      <c r="C174" t="s">
        <v>90</v>
      </c>
      <c r="D174">
        <v>42738</v>
      </c>
      <c r="E174">
        <v>42766</v>
      </c>
      <c r="F174">
        <v>42744</v>
      </c>
      <c r="G174" t="s">
        <v>647</v>
      </c>
      <c r="H174">
        <v>368.95000000000005</v>
      </c>
      <c r="I174" t="s">
        <v>15</v>
      </c>
      <c r="J174" t="str">
        <f t="shared" si="2"/>
        <v>Jan</v>
      </c>
    </row>
    <row r="175" spans="2:10" hidden="1" x14ac:dyDescent="0.25">
      <c r="B175">
        <v>10430</v>
      </c>
      <c r="C175" t="s">
        <v>90</v>
      </c>
      <c r="D175">
        <v>42765</v>
      </c>
      <c r="E175">
        <v>42779</v>
      </c>
      <c r="F175">
        <v>42769</v>
      </c>
      <c r="G175" t="s">
        <v>645</v>
      </c>
      <c r="H175">
        <v>2293.8999999999996</v>
      </c>
      <c r="I175" t="s">
        <v>15</v>
      </c>
      <c r="J175" t="str">
        <f t="shared" si="2"/>
        <v>Jan</v>
      </c>
    </row>
    <row r="176" spans="2:10" hidden="1" x14ac:dyDescent="0.25">
      <c r="B176">
        <v>10442</v>
      </c>
      <c r="C176" t="s">
        <v>90</v>
      </c>
      <c r="D176">
        <v>42777</v>
      </c>
      <c r="E176">
        <v>42805</v>
      </c>
      <c r="F176">
        <v>42784</v>
      </c>
      <c r="G176" t="s">
        <v>646</v>
      </c>
      <c r="H176">
        <v>239.7</v>
      </c>
      <c r="I176" t="s">
        <v>15</v>
      </c>
      <c r="J176" t="str">
        <f t="shared" si="2"/>
        <v>Feb</v>
      </c>
    </row>
    <row r="177" spans="2:10" hidden="1" x14ac:dyDescent="0.25">
      <c r="B177">
        <v>10514</v>
      </c>
      <c r="C177" t="s">
        <v>90</v>
      </c>
      <c r="D177">
        <v>42847</v>
      </c>
      <c r="E177">
        <v>42875</v>
      </c>
      <c r="F177">
        <v>42871</v>
      </c>
      <c r="G177" t="s">
        <v>646</v>
      </c>
      <c r="H177">
        <v>3949.75</v>
      </c>
      <c r="I177" t="s">
        <v>15</v>
      </c>
      <c r="J177" t="str">
        <f t="shared" si="2"/>
        <v>Apr</v>
      </c>
    </row>
    <row r="178" spans="2:10" hidden="1" x14ac:dyDescent="0.25">
      <c r="B178">
        <v>10571</v>
      </c>
      <c r="C178" t="s">
        <v>90</v>
      </c>
      <c r="D178">
        <v>42903</v>
      </c>
      <c r="E178">
        <v>42945</v>
      </c>
      <c r="F178">
        <v>42920</v>
      </c>
      <c r="G178" t="s">
        <v>647</v>
      </c>
      <c r="H178">
        <v>130.29999999999998</v>
      </c>
      <c r="I178" t="s">
        <v>15</v>
      </c>
      <c r="J178" t="str">
        <f t="shared" si="2"/>
        <v>Jun</v>
      </c>
    </row>
    <row r="179" spans="2:10" hidden="1" x14ac:dyDescent="0.25">
      <c r="B179">
        <v>10595</v>
      </c>
      <c r="C179" t="s">
        <v>90</v>
      </c>
      <c r="D179">
        <v>42926</v>
      </c>
      <c r="E179">
        <v>42954</v>
      </c>
      <c r="F179">
        <v>42930</v>
      </c>
      <c r="G179" t="s">
        <v>645</v>
      </c>
      <c r="H179">
        <v>483.9</v>
      </c>
      <c r="I179" t="s">
        <v>15</v>
      </c>
      <c r="J179" t="str">
        <f t="shared" si="2"/>
        <v>Jul</v>
      </c>
    </row>
    <row r="180" spans="2:10" hidden="1" x14ac:dyDescent="0.25">
      <c r="B180">
        <v>10633</v>
      </c>
      <c r="C180" t="s">
        <v>90</v>
      </c>
      <c r="D180">
        <v>42962</v>
      </c>
      <c r="E180">
        <v>42990</v>
      </c>
      <c r="F180">
        <v>42965</v>
      </c>
      <c r="G180" t="s">
        <v>647</v>
      </c>
      <c r="H180">
        <v>2389.5</v>
      </c>
      <c r="I180" t="s">
        <v>15</v>
      </c>
      <c r="J180" t="str">
        <f t="shared" si="2"/>
        <v>Aug</v>
      </c>
    </row>
    <row r="181" spans="2:10" hidden="1" x14ac:dyDescent="0.25">
      <c r="B181">
        <v>10667</v>
      </c>
      <c r="C181" t="s">
        <v>90</v>
      </c>
      <c r="D181">
        <v>42990</v>
      </c>
      <c r="E181">
        <v>43018</v>
      </c>
      <c r="F181">
        <v>42997</v>
      </c>
      <c r="G181" t="s">
        <v>645</v>
      </c>
      <c r="H181">
        <v>390.45000000000005</v>
      </c>
      <c r="I181" t="s">
        <v>15</v>
      </c>
      <c r="J181" t="str">
        <f t="shared" si="2"/>
        <v>Sep</v>
      </c>
    </row>
    <row r="182" spans="2:10" hidden="1" x14ac:dyDescent="0.25">
      <c r="B182">
        <v>10698</v>
      </c>
      <c r="C182" t="s">
        <v>90</v>
      </c>
      <c r="D182">
        <v>43017</v>
      </c>
      <c r="E182">
        <v>43045</v>
      </c>
      <c r="F182">
        <v>43025</v>
      </c>
      <c r="G182" t="s">
        <v>645</v>
      </c>
      <c r="H182">
        <v>1362.3500000000001</v>
      </c>
      <c r="I182" t="s">
        <v>15</v>
      </c>
      <c r="J182" t="str">
        <f t="shared" si="2"/>
        <v>Oct</v>
      </c>
    </row>
    <row r="183" spans="2:10" hidden="1" x14ac:dyDescent="0.25">
      <c r="B183">
        <v>10764</v>
      </c>
      <c r="C183" t="s">
        <v>90</v>
      </c>
      <c r="D183">
        <v>43072</v>
      </c>
      <c r="E183">
        <v>43100</v>
      </c>
      <c r="F183">
        <v>43077</v>
      </c>
      <c r="G183" t="s">
        <v>647</v>
      </c>
      <c r="H183">
        <v>727.25</v>
      </c>
      <c r="I183" t="s">
        <v>15</v>
      </c>
      <c r="J183" t="str">
        <f t="shared" si="2"/>
        <v>Dec</v>
      </c>
    </row>
    <row r="184" spans="2:10" hidden="1" x14ac:dyDescent="0.25">
      <c r="B184">
        <v>10771</v>
      </c>
      <c r="C184" t="s">
        <v>90</v>
      </c>
      <c r="D184">
        <v>43079</v>
      </c>
      <c r="E184">
        <v>43107</v>
      </c>
      <c r="F184">
        <v>43102</v>
      </c>
      <c r="G184" t="s">
        <v>646</v>
      </c>
      <c r="H184">
        <v>55.949999999999996</v>
      </c>
      <c r="I184" t="s">
        <v>15</v>
      </c>
      <c r="J184" t="str">
        <f t="shared" si="2"/>
        <v>Dec</v>
      </c>
    </row>
    <row r="185" spans="2:10" hidden="1" x14ac:dyDescent="0.25">
      <c r="B185">
        <v>10773</v>
      </c>
      <c r="C185" t="s">
        <v>90</v>
      </c>
      <c r="D185">
        <v>43080</v>
      </c>
      <c r="E185">
        <v>43108</v>
      </c>
      <c r="F185">
        <v>43085</v>
      </c>
      <c r="G185" t="s">
        <v>647</v>
      </c>
      <c r="H185">
        <v>482.15000000000003</v>
      </c>
      <c r="I185" t="s">
        <v>15</v>
      </c>
      <c r="J185" t="str">
        <f t="shared" si="2"/>
        <v>Dec</v>
      </c>
    </row>
    <row r="186" spans="2:10" hidden="1" x14ac:dyDescent="0.25">
      <c r="B186">
        <v>10776</v>
      </c>
      <c r="C186" t="s">
        <v>90</v>
      </c>
      <c r="D186">
        <v>43084</v>
      </c>
      <c r="E186">
        <v>43112</v>
      </c>
      <c r="F186">
        <v>43087</v>
      </c>
      <c r="G186" t="s">
        <v>647</v>
      </c>
      <c r="H186">
        <v>1757.6499999999999</v>
      </c>
      <c r="I186" t="s">
        <v>15</v>
      </c>
      <c r="J186" t="str">
        <f t="shared" si="2"/>
        <v>Dec</v>
      </c>
    </row>
    <row r="187" spans="2:10" hidden="1" x14ac:dyDescent="0.25">
      <c r="B187">
        <v>10795</v>
      </c>
      <c r="C187" t="s">
        <v>90</v>
      </c>
      <c r="D187">
        <v>43093</v>
      </c>
      <c r="E187">
        <v>43121</v>
      </c>
      <c r="F187">
        <v>43120</v>
      </c>
      <c r="G187" t="s">
        <v>646</v>
      </c>
      <c r="H187">
        <v>633.29999999999995</v>
      </c>
      <c r="I187" t="s">
        <v>15</v>
      </c>
      <c r="J187" t="str">
        <f t="shared" si="2"/>
        <v>Dec</v>
      </c>
    </row>
    <row r="188" spans="2:10" hidden="1" x14ac:dyDescent="0.25">
      <c r="B188">
        <v>10836</v>
      </c>
      <c r="C188" t="s">
        <v>90</v>
      </c>
      <c r="D188">
        <v>43116</v>
      </c>
      <c r="E188">
        <v>43144</v>
      </c>
      <c r="F188">
        <v>43121</v>
      </c>
      <c r="G188" t="s">
        <v>645</v>
      </c>
      <c r="H188">
        <v>2059.4</v>
      </c>
      <c r="I188" t="s">
        <v>15</v>
      </c>
      <c r="J188" t="str">
        <f t="shared" si="2"/>
        <v>Jan</v>
      </c>
    </row>
    <row r="189" spans="2:10" hidden="1" x14ac:dyDescent="0.25">
      <c r="B189">
        <v>10854</v>
      </c>
      <c r="C189" t="s">
        <v>90</v>
      </c>
      <c r="D189">
        <v>43127</v>
      </c>
      <c r="E189">
        <v>43155</v>
      </c>
      <c r="F189">
        <v>43136</v>
      </c>
      <c r="G189" t="s">
        <v>646</v>
      </c>
      <c r="H189">
        <v>501.1</v>
      </c>
      <c r="I189" t="s">
        <v>15</v>
      </c>
      <c r="J189" t="str">
        <f t="shared" si="2"/>
        <v>Jan</v>
      </c>
    </row>
    <row r="190" spans="2:10" hidden="1" x14ac:dyDescent="0.25">
      <c r="B190">
        <v>10895</v>
      </c>
      <c r="C190" t="s">
        <v>90</v>
      </c>
      <c r="D190">
        <v>43149</v>
      </c>
      <c r="E190">
        <v>43177</v>
      </c>
      <c r="F190">
        <v>43154</v>
      </c>
      <c r="G190" t="s">
        <v>645</v>
      </c>
      <c r="H190">
        <v>813.75</v>
      </c>
      <c r="I190" t="s">
        <v>15</v>
      </c>
      <c r="J190" t="str">
        <f t="shared" si="2"/>
        <v>Feb</v>
      </c>
    </row>
    <row r="191" spans="2:10" hidden="1" x14ac:dyDescent="0.25">
      <c r="B191">
        <v>10968</v>
      </c>
      <c r="C191" t="s">
        <v>90</v>
      </c>
      <c r="D191">
        <v>43182</v>
      </c>
      <c r="E191">
        <v>43210</v>
      </c>
      <c r="F191">
        <v>43191</v>
      </c>
      <c r="G191" t="s">
        <v>647</v>
      </c>
      <c r="H191">
        <v>373</v>
      </c>
      <c r="I191" t="s">
        <v>15</v>
      </c>
      <c r="J191" t="str">
        <f t="shared" si="2"/>
        <v>Mar</v>
      </c>
    </row>
    <row r="192" spans="2:10" hidden="1" x14ac:dyDescent="0.25">
      <c r="B192">
        <v>10979</v>
      </c>
      <c r="C192" t="s">
        <v>90</v>
      </c>
      <c r="D192">
        <v>43185</v>
      </c>
      <c r="E192">
        <v>43213</v>
      </c>
      <c r="F192">
        <v>43190</v>
      </c>
      <c r="G192" t="s">
        <v>646</v>
      </c>
      <c r="H192">
        <v>1765.35</v>
      </c>
      <c r="I192" t="s">
        <v>15</v>
      </c>
      <c r="J192" t="str">
        <f t="shared" si="2"/>
        <v>Mar</v>
      </c>
    </row>
    <row r="193" spans="2:10" hidden="1" x14ac:dyDescent="0.25">
      <c r="B193">
        <v>10990</v>
      </c>
      <c r="C193" t="s">
        <v>90</v>
      </c>
      <c r="D193">
        <v>43191</v>
      </c>
      <c r="E193">
        <v>43233</v>
      </c>
      <c r="F193">
        <v>43197</v>
      </c>
      <c r="G193" t="s">
        <v>647</v>
      </c>
      <c r="H193">
        <v>588.04999999999995</v>
      </c>
      <c r="I193" t="s">
        <v>15</v>
      </c>
      <c r="J193" t="str">
        <f t="shared" si="2"/>
        <v>Apr</v>
      </c>
    </row>
    <row r="194" spans="2:10" hidden="1" x14ac:dyDescent="0.25">
      <c r="B194">
        <v>11008</v>
      </c>
      <c r="C194" t="s">
        <v>90</v>
      </c>
      <c r="D194">
        <v>43198</v>
      </c>
      <c r="E194">
        <v>43226</v>
      </c>
      <c r="F194"/>
      <c r="G194" t="s">
        <v>647</v>
      </c>
      <c r="H194">
        <v>397.29999999999995</v>
      </c>
      <c r="I194" t="s">
        <v>15</v>
      </c>
      <c r="J194" t="str">
        <f t="shared" si="2"/>
        <v>Apr</v>
      </c>
    </row>
    <row r="195" spans="2:10" hidden="1" x14ac:dyDescent="0.25">
      <c r="B195">
        <v>11017</v>
      </c>
      <c r="C195" t="s">
        <v>90</v>
      </c>
      <c r="D195">
        <v>43203</v>
      </c>
      <c r="E195">
        <v>43231</v>
      </c>
      <c r="F195">
        <v>43210</v>
      </c>
      <c r="G195" t="s">
        <v>646</v>
      </c>
      <c r="H195">
        <v>3771.3</v>
      </c>
      <c r="I195" t="s">
        <v>15</v>
      </c>
      <c r="J195" t="str">
        <f t="shared" si="2"/>
        <v>Apr</v>
      </c>
    </row>
    <row r="196" spans="2:10" hidden="1" x14ac:dyDescent="0.25">
      <c r="B196">
        <v>11072</v>
      </c>
      <c r="C196" t="s">
        <v>90</v>
      </c>
      <c r="D196">
        <v>43225</v>
      </c>
      <c r="E196">
        <v>43253</v>
      </c>
      <c r="F196"/>
      <c r="G196" t="s">
        <v>646</v>
      </c>
      <c r="H196">
        <v>1293.1999999999998</v>
      </c>
      <c r="I196" t="s">
        <v>15</v>
      </c>
      <c r="J196" t="str">
        <f t="shared" si="2"/>
        <v>May</v>
      </c>
    </row>
    <row r="197" spans="2:10" hidden="1" x14ac:dyDescent="0.25">
      <c r="B197">
        <v>10347</v>
      </c>
      <c r="C197" t="s">
        <v>94</v>
      </c>
      <c r="D197">
        <v>42680</v>
      </c>
      <c r="E197">
        <v>42708</v>
      </c>
      <c r="F197">
        <v>42682</v>
      </c>
      <c r="G197" t="s">
        <v>647</v>
      </c>
      <c r="H197">
        <v>15.5</v>
      </c>
      <c r="I197" t="s">
        <v>333</v>
      </c>
      <c r="J197" t="str">
        <f t="shared" si="2"/>
        <v>Nov</v>
      </c>
    </row>
    <row r="198" spans="2:10" hidden="1" x14ac:dyDescent="0.25">
      <c r="B198">
        <v>10386</v>
      </c>
      <c r="C198" t="s">
        <v>94</v>
      </c>
      <c r="D198">
        <v>42722</v>
      </c>
      <c r="E198">
        <v>42736</v>
      </c>
      <c r="F198">
        <v>42729</v>
      </c>
      <c r="G198" t="s">
        <v>647</v>
      </c>
      <c r="H198">
        <v>69.95</v>
      </c>
      <c r="I198" t="s">
        <v>333</v>
      </c>
      <c r="J198" t="str">
        <f t="shared" si="2"/>
        <v>Dec</v>
      </c>
    </row>
    <row r="199" spans="2:10" hidden="1" x14ac:dyDescent="0.25">
      <c r="B199">
        <v>10414</v>
      </c>
      <c r="C199" t="s">
        <v>94</v>
      </c>
      <c r="D199">
        <v>42749</v>
      </c>
      <c r="E199">
        <v>42777</v>
      </c>
      <c r="F199">
        <v>42752</v>
      </c>
      <c r="G199" t="s">
        <v>647</v>
      </c>
      <c r="H199">
        <v>107.4</v>
      </c>
      <c r="I199" t="s">
        <v>333</v>
      </c>
      <c r="J199" t="str">
        <f t="shared" si="2"/>
        <v>Jan</v>
      </c>
    </row>
    <row r="200" spans="2:10" hidden="1" x14ac:dyDescent="0.25">
      <c r="B200">
        <v>10512</v>
      </c>
      <c r="C200" t="s">
        <v>94</v>
      </c>
      <c r="D200">
        <v>42846</v>
      </c>
      <c r="E200">
        <v>42874</v>
      </c>
      <c r="F200">
        <v>42849</v>
      </c>
      <c r="G200" t="s">
        <v>646</v>
      </c>
      <c r="H200">
        <v>17.649999999999999</v>
      </c>
      <c r="I200" t="s">
        <v>333</v>
      </c>
      <c r="J200" t="str">
        <f t="shared" si="2"/>
        <v>Apr</v>
      </c>
    </row>
    <row r="201" spans="2:10" hidden="1" x14ac:dyDescent="0.25">
      <c r="B201">
        <v>10581</v>
      </c>
      <c r="C201" t="s">
        <v>94</v>
      </c>
      <c r="D201">
        <v>42912</v>
      </c>
      <c r="E201">
        <v>42940</v>
      </c>
      <c r="F201">
        <v>42918</v>
      </c>
      <c r="G201" t="s">
        <v>645</v>
      </c>
      <c r="H201">
        <v>15.049999999999999</v>
      </c>
      <c r="I201" t="s">
        <v>333</v>
      </c>
      <c r="J201" t="str">
        <f t="shared" si="2"/>
        <v>Jun</v>
      </c>
    </row>
    <row r="202" spans="2:10" hidden="1" x14ac:dyDescent="0.25">
      <c r="B202">
        <v>10650</v>
      </c>
      <c r="C202" t="s">
        <v>94</v>
      </c>
      <c r="D202">
        <v>42976</v>
      </c>
      <c r="E202">
        <v>43004</v>
      </c>
      <c r="F202">
        <v>42981</v>
      </c>
      <c r="G202" t="s">
        <v>647</v>
      </c>
      <c r="H202">
        <v>884.05</v>
      </c>
      <c r="I202" t="s">
        <v>333</v>
      </c>
      <c r="J202" t="str">
        <f t="shared" si="2"/>
        <v>Aug</v>
      </c>
    </row>
    <row r="203" spans="2:10" hidden="1" x14ac:dyDescent="0.25">
      <c r="B203">
        <v>10725</v>
      </c>
      <c r="C203" t="s">
        <v>94</v>
      </c>
      <c r="D203">
        <v>43039</v>
      </c>
      <c r="E203">
        <v>43067</v>
      </c>
      <c r="F203">
        <v>43044</v>
      </c>
      <c r="G203" t="s">
        <v>647</v>
      </c>
      <c r="H203">
        <v>54.15</v>
      </c>
      <c r="I203" t="s">
        <v>333</v>
      </c>
      <c r="J203" t="str">
        <f t="shared" si="2"/>
        <v>Oct</v>
      </c>
    </row>
    <row r="204" spans="2:10" hidden="1" x14ac:dyDescent="0.25">
      <c r="B204">
        <v>10408</v>
      </c>
      <c r="C204" t="s">
        <v>99</v>
      </c>
      <c r="D204">
        <v>42743</v>
      </c>
      <c r="E204">
        <v>42771</v>
      </c>
      <c r="F204">
        <v>42749</v>
      </c>
      <c r="G204" t="s">
        <v>645</v>
      </c>
      <c r="H204">
        <v>56.3</v>
      </c>
      <c r="I204" t="s">
        <v>335</v>
      </c>
      <c r="J204" t="str">
        <f t="shared" si="2"/>
        <v>Jan</v>
      </c>
    </row>
    <row r="205" spans="2:10" hidden="1" x14ac:dyDescent="0.25">
      <c r="B205">
        <v>10480</v>
      </c>
      <c r="C205" t="s">
        <v>99</v>
      </c>
      <c r="D205">
        <v>42814</v>
      </c>
      <c r="E205">
        <v>42842</v>
      </c>
      <c r="F205">
        <v>42818</v>
      </c>
      <c r="G205" t="s">
        <v>646</v>
      </c>
      <c r="H205">
        <v>6.75</v>
      </c>
      <c r="I205" t="s">
        <v>335</v>
      </c>
      <c r="J205" t="str">
        <f t="shared" si="2"/>
        <v>Mar</v>
      </c>
    </row>
    <row r="206" spans="2:10" hidden="1" x14ac:dyDescent="0.25">
      <c r="B206">
        <v>10634</v>
      </c>
      <c r="C206" t="s">
        <v>99</v>
      </c>
      <c r="D206">
        <v>42962</v>
      </c>
      <c r="E206">
        <v>42990</v>
      </c>
      <c r="F206">
        <v>42968</v>
      </c>
      <c r="G206" t="s">
        <v>647</v>
      </c>
      <c r="H206">
        <v>2436.9</v>
      </c>
      <c r="I206" t="s">
        <v>335</v>
      </c>
      <c r="J206" t="str">
        <f t="shared" si="2"/>
        <v>Aug</v>
      </c>
    </row>
    <row r="207" spans="2:10" hidden="1" x14ac:dyDescent="0.25">
      <c r="B207">
        <v>10763</v>
      </c>
      <c r="C207" t="s">
        <v>99</v>
      </c>
      <c r="D207">
        <v>43072</v>
      </c>
      <c r="E207">
        <v>43100</v>
      </c>
      <c r="F207">
        <v>43077</v>
      </c>
      <c r="G207" t="s">
        <v>647</v>
      </c>
      <c r="H207">
        <v>186.75</v>
      </c>
      <c r="I207" t="s">
        <v>335</v>
      </c>
      <c r="J207" t="str">
        <f t="shared" si="2"/>
        <v>Dec</v>
      </c>
    </row>
    <row r="208" spans="2:10" hidden="1" x14ac:dyDescent="0.25">
      <c r="B208">
        <v>10789</v>
      </c>
      <c r="C208" t="s">
        <v>99</v>
      </c>
      <c r="D208">
        <v>43091</v>
      </c>
      <c r="E208">
        <v>43119</v>
      </c>
      <c r="F208">
        <v>43100</v>
      </c>
      <c r="G208" t="s">
        <v>646</v>
      </c>
      <c r="H208">
        <v>503</v>
      </c>
      <c r="I208" t="s">
        <v>335</v>
      </c>
      <c r="J208" t="str">
        <f t="shared" si="2"/>
        <v>Dec</v>
      </c>
    </row>
    <row r="209" spans="2:10" hidden="1" x14ac:dyDescent="0.25">
      <c r="B209">
        <v>10264</v>
      </c>
      <c r="C209" t="s">
        <v>103</v>
      </c>
      <c r="D209">
        <v>42575</v>
      </c>
      <c r="E209">
        <v>42603</v>
      </c>
      <c r="F209">
        <v>42605</v>
      </c>
      <c r="G209" t="s">
        <v>647</v>
      </c>
      <c r="H209">
        <v>18.350000000000001</v>
      </c>
      <c r="I209" t="s">
        <v>336</v>
      </c>
      <c r="J209" t="str">
        <f t="shared" ref="J209:J272" si="3">TEXT(D209,"mmm")</f>
        <v>Jul</v>
      </c>
    </row>
    <row r="210" spans="2:10" hidden="1" x14ac:dyDescent="0.25">
      <c r="B210">
        <v>10327</v>
      </c>
      <c r="C210" t="s">
        <v>103</v>
      </c>
      <c r="D210">
        <v>42654</v>
      </c>
      <c r="E210">
        <v>42682</v>
      </c>
      <c r="F210">
        <v>42657</v>
      </c>
      <c r="G210" t="s">
        <v>645</v>
      </c>
      <c r="H210">
        <v>316.8</v>
      </c>
      <c r="I210" t="s">
        <v>336</v>
      </c>
      <c r="J210" t="str">
        <f t="shared" si="3"/>
        <v>Oct</v>
      </c>
    </row>
    <row r="211" spans="2:10" hidden="1" x14ac:dyDescent="0.25">
      <c r="B211">
        <v>10378</v>
      </c>
      <c r="C211" t="s">
        <v>103</v>
      </c>
      <c r="D211">
        <v>42714</v>
      </c>
      <c r="E211">
        <v>42742</v>
      </c>
      <c r="F211">
        <v>42723</v>
      </c>
      <c r="G211" t="s">
        <v>647</v>
      </c>
      <c r="H211">
        <v>27.200000000000003</v>
      </c>
      <c r="I211" t="s">
        <v>336</v>
      </c>
      <c r="J211" t="str">
        <f t="shared" si="3"/>
        <v>Dec</v>
      </c>
    </row>
    <row r="212" spans="2:10" hidden="1" x14ac:dyDescent="0.25">
      <c r="B212">
        <v>10434</v>
      </c>
      <c r="C212" t="s">
        <v>103</v>
      </c>
      <c r="D212">
        <v>42769</v>
      </c>
      <c r="E212">
        <v>42797</v>
      </c>
      <c r="F212">
        <v>42779</v>
      </c>
      <c r="G212" t="s">
        <v>646</v>
      </c>
      <c r="H212">
        <v>89.600000000000009</v>
      </c>
      <c r="I212" t="s">
        <v>336</v>
      </c>
      <c r="J212" t="str">
        <f t="shared" si="3"/>
        <v>Feb</v>
      </c>
    </row>
    <row r="213" spans="2:10" hidden="1" x14ac:dyDescent="0.25">
      <c r="B213">
        <v>10460</v>
      </c>
      <c r="C213" t="s">
        <v>103</v>
      </c>
      <c r="D213">
        <v>42794</v>
      </c>
      <c r="E213">
        <v>42822</v>
      </c>
      <c r="F213">
        <v>42797</v>
      </c>
      <c r="G213" t="s">
        <v>645</v>
      </c>
      <c r="H213">
        <v>81.349999999999994</v>
      </c>
      <c r="I213" t="s">
        <v>336</v>
      </c>
      <c r="J213" t="str">
        <f t="shared" si="3"/>
        <v>Feb</v>
      </c>
    </row>
    <row r="214" spans="2:10" hidden="1" x14ac:dyDescent="0.25">
      <c r="B214">
        <v>10533</v>
      </c>
      <c r="C214" t="s">
        <v>103</v>
      </c>
      <c r="D214">
        <v>42867</v>
      </c>
      <c r="E214">
        <v>42895</v>
      </c>
      <c r="F214">
        <v>42877</v>
      </c>
      <c r="G214" t="s">
        <v>645</v>
      </c>
      <c r="H214">
        <v>940.19999999999993</v>
      </c>
      <c r="I214" t="s">
        <v>336</v>
      </c>
      <c r="J214" t="str">
        <f t="shared" si="3"/>
        <v>May</v>
      </c>
    </row>
    <row r="215" spans="2:10" hidden="1" x14ac:dyDescent="0.25">
      <c r="B215">
        <v>10561</v>
      </c>
      <c r="C215" t="s">
        <v>103</v>
      </c>
      <c r="D215">
        <v>42892</v>
      </c>
      <c r="E215">
        <v>42920</v>
      </c>
      <c r="F215">
        <v>42895</v>
      </c>
      <c r="G215" t="s">
        <v>646</v>
      </c>
      <c r="H215">
        <v>1211.05</v>
      </c>
      <c r="I215" t="s">
        <v>336</v>
      </c>
      <c r="J215" t="str">
        <f t="shared" si="3"/>
        <v>Jun</v>
      </c>
    </row>
    <row r="216" spans="2:10" hidden="1" x14ac:dyDescent="0.25">
      <c r="B216">
        <v>10703</v>
      </c>
      <c r="C216" t="s">
        <v>103</v>
      </c>
      <c r="D216">
        <v>43022</v>
      </c>
      <c r="E216">
        <v>43050</v>
      </c>
      <c r="F216">
        <v>43028</v>
      </c>
      <c r="G216" t="s">
        <v>646</v>
      </c>
      <c r="H216">
        <v>761.5</v>
      </c>
      <c r="I216" t="s">
        <v>336</v>
      </c>
      <c r="J216" t="str">
        <f t="shared" si="3"/>
        <v>Oct</v>
      </c>
    </row>
    <row r="217" spans="2:10" hidden="1" x14ac:dyDescent="0.25">
      <c r="B217">
        <v>10762</v>
      </c>
      <c r="C217" t="s">
        <v>103</v>
      </c>
      <c r="D217">
        <v>43071</v>
      </c>
      <c r="E217">
        <v>43099</v>
      </c>
      <c r="F217">
        <v>43078</v>
      </c>
      <c r="G217" t="s">
        <v>645</v>
      </c>
      <c r="H217">
        <v>1643.7</v>
      </c>
      <c r="I217" t="s">
        <v>336</v>
      </c>
      <c r="J217" t="str">
        <f t="shared" si="3"/>
        <v>Dec</v>
      </c>
    </row>
    <row r="218" spans="2:10" hidden="1" x14ac:dyDescent="0.25">
      <c r="B218">
        <v>10774</v>
      </c>
      <c r="C218" t="s">
        <v>103</v>
      </c>
      <c r="D218">
        <v>43080</v>
      </c>
      <c r="E218">
        <v>43094</v>
      </c>
      <c r="F218">
        <v>43081</v>
      </c>
      <c r="G218" t="s">
        <v>645</v>
      </c>
      <c r="H218">
        <v>241</v>
      </c>
      <c r="I218" t="s">
        <v>336</v>
      </c>
      <c r="J218" t="str">
        <f t="shared" si="3"/>
        <v>Dec</v>
      </c>
    </row>
    <row r="219" spans="2:10" hidden="1" x14ac:dyDescent="0.25">
      <c r="B219">
        <v>10824</v>
      </c>
      <c r="C219" t="s">
        <v>103</v>
      </c>
      <c r="D219">
        <v>43109</v>
      </c>
      <c r="E219">
        <v>43137</v>
      </c>
      <c r="F219">
        <v>43130</v>
      </c>
      <c r="G219" t="s">
        <v>645</v>
      </c>
      <c r="H219">
        <v>6.15</v>
      </c>
      <c r="I219" t="s">
        <v>336</v>
      </c>
      <c r="J219" t="str">
        <f t="shared" si="3"/>
        <v>Jan</v>
      </c>
    </row>
    <row r="220" spans="2:10" hidden="1" x14ac:dyDescent="0.25">
      <c r="B220">
        <v>10880</v>
      </c>
      <c r="C220" t="s">
        <v>103</v>
      </c>
      <c r="D220">
        <v>43141</v>
      </c>
      <c r="E220">
        <v>43183</v>
      </c>
      <c r="F220">
        <v>43149</v>
      </c>
      <c r="G220" t="s">
        <v>645</v>
      </c>
      <c r="H220">
        <v>440.05</v>
      </c>
      <c r="I220" t="s">
        <v>336</v>
      </c>
      <c r="J220" t="str">
        <f t="shared" si="3"/>
        <v>Feb</v>
      </c>
    </row>
    <row r="221" spans="2:10" hidden="1" x14ac:dyDescent="0.25">
      <c r="B221">
        <v>10902</v>
      </c>
      <c r="C221" t="s">
        <v>103</v>
      </c>
      <c r="D221">
        <v>43154</v>
      </c>
      <c r="E221">
        <v>43182</v>
      </c>
      <c r="F221">
        <v>43162</v>
      </c>
      <c r="G221" t="s">
        <v>645</v>
      </c>
      <c r="H221">
        <v>220.75</v>
      </c>
      <c r="I221" t="s">
        <v>336</v>
      </c>
      <c r="J221" t="str">
        <f t="shared" si="3"/>
        <v>Feb</v>
      </c>
    </row>
    <row r="222" spans="2:10" hidden="1" x14ac:dyDescent="0.25">
      <c r="B222">
        <v>10955</v>
      </c>
      <c r="C222" t="s">
        <v>103</v>
      </c>
      <c r="D222">
        <v>43176</v>
      </c>
      <c r="E222">
        <v>43204</v>
      </c>
      <c r="F222">
        <v>43179</v>
      </c>
      <c r="G222" t="s">
        <v>646</v>
      </c>
      <c r="H222">
        <v>16.299999999999997</v>
      </c>
      <c r="I222" t="s">
        <v>336</v>
      </c>
      <c r="J222" t="str">
        <f t="shared" si="3"/>
        <v>Mar</v>
      </c>
    </row>
    <row r="223" spans="2:10" hidden="1" x14ac:dyDescent="0.25">
      <c r="B223">
        <v>10977</v>
      </c>
      <c r="C223" t="s">
        <v>103</v>
      </c>
      <c r="D223">
        <v>43185</v>
      </c>
      <c r="E223">
        <v>43213</v>
      </c>
      <c r="F223">
        <v>43200</v>
      </c>
      <c r="G223" t="s">
        <v>647</v>
      </c>
      <c r="H223">
        <v>1042.5</v>
      </c>
      <c r="I223" t="s">
        <v>336</v>
      </c>
      <c r="J223" t="str">
        <f t="shared" si="3"/>
        <v>Mar</v>
      </c>
    </row>
    <row r="224" spans="2:10" hidden="1" x14ac:dyDescent="0.25">
      <c r="B224">
        <v>10980</v>
      </c>
      <c r="C224" t="s">
        <v>103</v>
      </c>
      <c r="D224">
        <v>43186</v>
      </c>
      <c r="E224">
        <v>43228</v>
      </c>
      <c r="F224">
        <v>43207</v>
      </c>
      <c r="G224" t="s">
        <v>645</v>
      </c>
      <c r="H224">
        <v>6.3</v>
      </c>
      <c r="I224" t="s">
        <v>336</v>
      </c>
      <c r="J224" t="str">
        <f t="shared" si="3"/>
        <v>Mar</v>
      </c>
    </row>
    <row r="225" spans="2:10" hidden="1" x14ac:dyDescent="0.25">
      <c r="B225">
        <v>10993</v>
      </c>
      <c r="C225" t="s">
        <v>103</v>
      </c>
      <c r="D225">
        <v>43191</v>
      </c>
      <c r="E225">
        <v>43219</v>
      </c>
      <c r="F225">
        <v>43200</v>
      </c>
      <c r="G225" t="s">
        <v>647</v>
      </c>
      <c r="H225">
        <v>44.050000000000004</v>
      </c>
      <c r="I225" t="s">
        <v>336</v>
      </c>
      <c r="J225" t="str">
        <f t="shared" si="3"/>
        <v>Apr</v>
      </c>
    </row>
    <row r="226" spans="2:10" hidden="1" x14ac:dyDescent="0.25">
      <c r="B226">
        <v>11001</v>
      </c>
      <c r="C226" t="s">
        <v>103</v>
      </c>
      <c r="D226">
        <v>43196</v>
      </c>
      <c r="E226">
        <v>43224</v>
      </c>
      <c r="F226">
        <v>43204</v>
      </c>
      <c r="G226" t="s">
        <v>646</v>
      </c>
      <c r="H226">
        <v>986.5</v>
      </c>
      <c r="I226" t="s">
        <v>336</v>
      </c>
      <c r="J226" t="str">
        <f t="shared" si="3"/>
        <v>Apr</v>
      </c>
    </row>
    <row r="227" spans="2:10" hidden="1" x14ac:dyDescent="0.25">
      <c r="B227">
        <v>11050</v>
      </c>
      <c r="C227" t="s">
        <v>103</v>
      </c>
      <c r="D227">
        <v>43217</v>
      </c>
      <c r="E227">
        <v>43245</v>
      </c>
      <c r="F227">
        <v>43225</v>
      </c>
      <c r="G227" t="s">
        <v>646</v>
      </c>
      <c r="H227">
        <v>297.04999999999995</v>
      </c>
      <c r="I227" t="s">
        <v>336</v>
      </c>
      <c r="J227" t="str">
        <f t="shared" si="3"/>
        <v>Apr</v>
      </c>
    </row>
    <row r="228" spans="2:10" hidden="1" x14ac:dyDescent="0.25">
      <c r="B228">
        <v>10267</v>
      </c>
      <c r="C228" t="s">
        <v>105</v>
      </c>
      <c r="D228">
        <v>42580</v>
      </c>
      <c r="E228">
        <v>42608</v>
      </c>
      <c r="F228">
        <v>42588</v>
      </c>
      <c r="G228" t="s">
        <v>645</v>
      </c>
      <c r="H228">
        <v>1042.9000000000001</v>
      </c>
      <c r="I228" t="s">
        <v>337</v>
      </c>
      <c r="J228" t="str">
        <f t="shared" si="3"/>
        <v>Jul</v>
      </c>
    </row>
    <row r="229" spans="2:10" hidden="1" x14ac:dyDescent="0.25">
      <c r="B229">
        <v>10337</v>
      </c>
      <c r="C229" t="s">
        <v>105</v>
      </c>
      <c r="D229">
        <v>42667</v>
      </c>
      <c r="E229">
        <v>42695</v>
      </c>
      <c r="F229">
        <v>42672</v>
      </c>
      <c r="G229" t="s">
        <v>647</v>
      </c>
      <c r="H229">
        <v>541.30000000000007</v>
      </c>
      <c r="I229" t="s">
        <v>337</v>
      </c>
      <c r="J229" t="str">
        <f t="shared" si="3"/>
        <v>Oct</v>
      </c>
    </row>
    <row r="230" spans="2:10" hidden="1" x14ac:dyDescent="0.25">
      <c r="B230">
        <v>10342</v>
      </c>
      <c r="C230" t="s">
        <v>105</v>
      </c>
      <c r="D230">
        <v>42673</v>
      </c>
      <c r="E230">
        <v>42687</v>
      </c>
      <c r="F230">
        <v>42678</v>
      </c>
      <c r="G230" t="s">
        <v>646</v>
      </c>
      <c r="H230">
        <v>274.14999999999998</v>
      </c>
      <c r="I230" t="s">
        <v>337</v>
      </c>
      <c r="J230" t="str">
        <f t="shared" si="3"/>
        <v>Oct</v>
      </c>
    </row>
    <row r="231" spans="2:10" hidden="1" x14ac:dyDescent="0.25">
      <c r="B231">
        <v>10396</v>
      </c>
      <c r="C231" t="s">
        <v>105</v>
      </c>
      <c r="D231">
        <v>42731</v>
      </c>
      <c r="E231">
        <v>42745</v>
      </c>
      <c r="F231">
        <v>42741</v>
      </c>
      <c r="G231" t="s">
        <v>647</v>
      </c>
      <c r="H231">
        <v>676.75</v>
      </c>
      <c r="I231" t="s">
        <v>337</v>
      </c>
      <c r="J231" t="str">
        <f t="shared" si="3"/>
        <v>Dec</v>
      </c>
    </row>
    <row r="232" spans="2:10" hidden="1" x14ac:dyDescent="0.25">
      <c r="B232">
        <v>10488</v>
      </c>
      <c r="C232" t="s">
        <v>105</v>
      </c>
      <c r="D232">
        <v>42821</v>
      </c>
      <c r="E232">
        <v>42849</v>
      </c>
      <c r="F232">
        <v>42827</v>
      </c>
      <c r="G232" t="s">
        <v>646</v>
      </c>
      <c r="H232">
        <v>24.65</v>
      </c>
      <c r="I232" t="s">
        <v>337</v>
      </c>
      <c r="J232" t="str">
        <f t="shared" si="3"/>
        <v>Mar</v>
      </c>
    </row>
    <row r="233" spans="2:10" hidden="1" x14ac:dyDescent="0.25">
      <c r="B233">
        <v>10560</v>
      </c>
      <c r="C233" t="s">
        <v>105</v>
      </c>
      <c r="D233">
        <v>42892</v>
      </c>
      <c r="E233">
        <v>42920</v>
      </c>
      <c r="F233">
        <v>42895</v>
      </c>
      <c r="G233" t="s">
        <v>645</v>
      </c>
      <c r="H233">
        <v>183.25</v>
      </c>
      <c r="I233" t="s">
        <v>337</v>
      </c>
      <c r="J233" t="str">
        <f t="shared" si="3"/>
        <v>Jun</v>
      </c>
    </row>
    <row r="234" spans="2:10" hidden="1" x14ac:dyDescent="0.25">
      <c r="B234">
        <v>10623</v>
      </c>
      <c r="C234" t="s">
        <v>105</v>
      </c>
      <c r="D234">
        <v>42954</v>
      </c>
      <c r="E234">
        <v>42982</v>
      </c>
      <c r="F234">
        <v>42959</v>
      </c>
      <c r="G234" t="s">
        <v>646</v>
      </c>
      <c r="H234">
        <v>485.90000000000003</v>
      </c>
      <c r="I234" t="s">
        <v>337</v>
      </c>
      <c r="J234" t="str">
        <f t="shared" si="3"/>
        <v>Aug</v>
      </c>
    </row>
    <row r="235" spans="2:10" hidden="1" x14ac:dyDescent="0.25">
      <c r="B235">
        <v>10653</v>
      </c>
      <c r="C235" t="s">
        <v>105</v>
      </c>
      <c r="D235">
        <v>42980</v>
      </c>
      <c r="E235">
        <v>43008</v>
      </c>
      <c r="F235">
        <v>42997</v>
      </c>
      <c r="G235" t="s">
        <v>645</v>
      </c>
      <c r="H235">
        <v>466.25</v>
      </c>
      <c r="I235" t="s">
        <v>337</v>
      </c>
      <c r="J235" t="str">
        <f t="shared" si="3"/>
        <v>Sep</v>
      </c>
    </row>
    <row r="236" spans="2:10" hidden="1" x14ac:dyDescent="0.25">
      <c r="B236">
        <v>10670</v>
      </c>
      <c r="C236" t="s">
        <v>105</v>
      </c>
      <c r="D236">
        <v>42994</v>
      </c>
      <c r="E236">
        <v>43022</v>
      </c>
      <c r="F236">
        <v>42996</v>
      </c>
      <c r="G236" t="s">
        <v>645</v>
      </c>
      <c r="H236">
        <v>1017.4</v>
      </c>
      <c r="I236" t="s">
        <v>337</v>
      </c>
      <c r="J236" t="str">
        <f t="shared" si="3"/>
        <v>Sep</v>
      </c>
    </row>
    <row r="237" spans="2:10" hidden="1" x14ac:dyDescent="0.25">
      <c r="B237">
        <v>10675</v>
      </c>
      <c r="C237" t="s">
        <v>105</v>
      </c>
      <c r="D237">
        <v>42997</v>
      </c>
      <c r="E237">
        <v>43025</v>
      </c>
      <c r="F237">
        <v>43001</v>
      </c>
      <c r="G237" t="s">
        <v>646</v>
      </c>
      <c r="H237">
        <v>159.25</v>
      </c>
      <c r="I237" t="s">
        <v>337</v>
      </c>
      <c r="J237" t="str">
        <f t="shared" si="3"/>
        <v>Sep</v>
      </c>
    </row>
    <row r="238" spans="2:10" hidden="1" x14ac:dyDescent="0.25">
      <c r="B238">
        <v>10717</v>
      </c>
      <c r="C238" t="s">
        <v>105</v>
      </c>
      <c r="D238">
        <v>43032</v>
      </c>
      <c r="E238">
        <v>43060</v>
      </c>
      <c r="F238">
        <v>43037</v>
      </c>
      <c r="G238" t="s">
        <v>646</v>
      </c>
      <c r="H238">
        <v>296.25</v>
      </c>
      <c r="I238" t="s">
        <v>337</v>
      </c>
      <c r="J238" t="str">
        <f t="shared" si="3"/>
        <v>Oct</v>
      </c>
    </row>
    <row r="239" spans="2:10" hidden="1" x14ac:dyDescent="0.25">
      <c r="B239">
        <v>10791</v>
      </c>
      <c r="C239" t="s">
        <v>105</v>
      </c>
      <c r="D239">
        <v>43092</v>
      </c>
      <c r="E239">
        <v>43120</v>
      </c>
      <c r="F239">
        <v>43101</v>
      </c>
      <c r="G239" t="s">
        <v>646</v>
      </c>
      <c r="H239">
        <v>84.25</v>
      </c>
      <c r="I239" t="s">
        <v>337</v>
      </c>
      <c r="J239" t="str">
        <f t="shared" si="3"/>
        <v>Dec</v>
      </c>
    </row>
    <row r="240" spans="2:10" hidden="1" x14ac:dyDescent="0.25">
      <c r="B240">
        <v>10859</v>
      </c>
      <c r="C240" t="s">
        <v>105</v>
      </c>
      <c r="D240">
        <v>43129</v>
      </c>
      <c r="E240">
        <v>43157</v>
      </c>
      <c r="F240">
        <v>43133</v>
      </c>
      <c r="G240" t="s">
        <v>646</v>
      </c>
      <c r="H240">
        <v>380.5</v>
      </c>
      <c r="I240" t="s">
        <v>337</v>
      </c>
      <c r="J240" t="str">
        <f t="shared" si="3"/>
        <v>Jan</v>
      </c>
    </row>
    <row r="241" spans="2:10" hidden="1" x14ac:dyDescent="0.25">
      <c r="B241">
        <v>10929</v>
      </c>
      <c r="C241" t="s">
        <v>105</v>
      </c>
      <c r="D241">
        <v>43164</v>
      </c>
      <c r="E241">
        <v>43192</v>
      </c>
      <c r="F241">
        <v>43171</v>
      </c>
      <c r="G241" t="s">
        <v>645</v>
      </c>
      <c r="H241">
        <v>169.65</v>
      </c>
      <c r="I241" t="s">
        <v>337</v>
      </c>
      <c r="J241" t="str">
        <f t="shared" si="3"/>
        <v>Mar</v>
      </c>
    </row>
    <row r="242" spans="2:10" hidden="1" x14ac:dyDescent="0.25">
      <c r="B242">
        <v>11012</v>
      </c>
      <c r="C242" t="s">
        <v>105</v>
      </c>
      <c r="D242">
        <v>43199</v>
      </c>
      <c r="E242">
        <v>43213</v>
      </c>
      <c r="F242">
        <v>43207</v>
      </c>
      <c r="G242" t="s">
        <v>647</v>
      </c>
      <c r="H242">
        <v>1214.75</v>
      </c>
      <c r="I242" t="s">
        <v>337</v>
      </c>
      <c r="J242" t="str">
        <f t="shared" si="3"/>
        <v>Apr</v>
      </c>
    </row>
    <row r="243" spans="2:10" hidden="1" x14ac:dyDescent="0.25">
      <c r="B243">
        <v>10671</v>
      </c>
      <c r="C243" t="s">
        <v>108</v>
      </c>
      <c r="D243">
        <v>42995</v>
      </c>
      <c r="E243">
        <v>43023</v>
      </c>
      <c r="F243">
        <v>43002</v>
      </c>
      <c r="G243" t="s">
        <v>645</v>
      </c>
      <c r="H243">
        <v>151.69999999999999</v>
      </c>
      <c r="I243" t="s">
        <v>338</v>
      </c>
      <c r="J243" t="str">
        <f t="shared" si="3"/>
        <v>Sep</v>
      </c>
    </row>
    <row r="244" spans="2:10" hidden="1" x14ac:dyDescent="0.25">
      <c r="B244">
        <v>10860</v>
      </c>
      <c r="C244" t="s">
        <v>108</v>
      </c>
      <c r="D244">
        <v>43129</v>
      </c>
      <c r="E244">
        <v>43157</v>
      </c>
      <c r="F244">
        <v>43135</v>
      </c>
      <c r="G244" t="s">
        <v>647</v>
      </c>
      <c r="H244">
        <v>96.300000000000011</v>
      </c>
      <c r="I244" t="s">
        <v>338</v>
      </c>
      <c r="J244" t="str">
        <f t="shared" si="3"/>
        <v>Jan</v>
      </c>
    </row>
    <row r="245" spans="2:10" hidden="1" x14ac:dyDescent="0.25">
      <c r="B245">
        <v>10971</v>
      </c>
      <c r="C245" t="s">
        <v>108</v>
      </c>
      <c r="D245">
        <v>43183</v>
      </c>
      <c r="E245">
        <v>43211</v>
      </c>
      <c r="F245">
        <v>43192</v>
      </c>
      <c r="G245" t="s">
        <v>646</v>
      </c>
      <c r="H245">
        <v>609.09999999999991</v>
      </c>
      <c r="I245" t="s">
        <v>338</v>
      </c>
      <c r="J245" t="str">
        <f t="shared" si="3"/>
        <v>Mar</v>
      </c>
    </row>
    <row r="246" spans="2:10" hidden="1" x14ac:dyDescent="0.25">
      <c r="B246">
        <v>10422</v>
      </c>
      <c r="C246" t="s">
        <v>111</v>
      </c>
      <c r="D246">
        <v>42757</v>
      </c>
      <c r="E246">
        <v>42785</v>
      </c>
      <c r="F246">
        <v>42766</v>
      </c>
      <c r="G246" t="s">
        <v>645</v>
      </c>
      <c r="H246">
        <v>15.1</v>
      </c>
      <c r="I246" t="s">
        <v>339</v>
      </c>
      <c r="J246" t="str">
        <f t="shared" si="3"/>
        <v>Jan</v>
      </c>
    </row>
    <row r="247" spans="2:10" hidden="1" x14ac:dyDescent="0.25">
      <c r="B247">
        <v>10710</v>
      </c>
      <c r="C247" t="s">
        <v>111</v>
      </c>
      <c r="D247">
        <v>43028</v>
      </c>
      <c r="E247">
        <v>43056</v>
      </c>
      <c r="F247">
        <v>43031</v>
      </c>
      <c r="G247" t="s">
        <v>645</v>
      </c>
      <c r="H247">
        <v>24.900000000000002</v>
      </c>
      <c r="I247" t="s">
        <v>339</v>
      </c>
      <c r="J247" t="str">
        <f t="shared" si="3"/>
        <v>Oct</v>
      </c>
    </row>
    <row r="248" spans="2:10" hidden="1" x14ac:dyDescent="0.25">
      <c r="B248">
        <v>10753</v>
      </c>
      <c r="C248" t="s">
        <v>111</v>
      </c>
      <c r="D248">
        <v>43064</v>
      </c>
      <c r="E248">
        <v>43092</v>
      </c>
      <c r="F248">
        <v>43066</v>
      </c>
      <c r="G248" t="s">
        <v>645</v>
      </c>
      <c r="H248">
        <v>38.5</v>
      </c>
      <c r="I248" t="s">
        <v>339</v>
      </c>
      <c r="J248" t="str">
        <f t="shared" si="3"/>
        <v>Nov</v>
      </c>
    </row>
    <row r="249" spans="2:10" hidden="1" x14ac:dyDescent="0.25">
      <c r="B249">
        <v>10807</v>
      </c>
      <c r="C249" t="s">
        <v>111</v>
      </c>
      <c r="D249">
        <v>43100</v>
      </c>
      <c r="E249">
        <v>43128</v>
      </c>
      <c r="F249">
        <v>43130</v>
      </c>
      <c r="G249" t="s">
        <v>645</v>
      </c>
      <c r="H249">
        <v>6.8000000000000007</v>
      </c>
      <c r="I249" t="s">
        <v>339</v>
      </c>
      <c r="J249" t="str">
        <f t="shared" si="3"/>
        <v>Dec</v>
      </c>
    </row>
    <row r="250" spans="2:10" hidden="1" x14ac:dyDescent="0.25">
      <c r="B250">
        <v>11026</v>
      </c>
      <c r="C250" t="s">
        <v>111</v>
      </c>
      <c r="D250">
        <v>43205</v>
      </c>
      <c r="E250">
        <v>43233</v>
      </c>
      <c r="F250">
        <v>43218</v>
      </c>
      <c r="G250" t="s">
        <v>645</v>
      </c>
      <c r="H250">
        <v>235.45000000000002</v>
      </c>
      <c r="I250" t="s">
        <v>339</v>
      </c>
      <c r="J250" t="str">
        <f t="shared" si="3"/>
        <v>Apr</v>
      </c>
    </row>
    <row r="251" spans="2:10" hidden="1" x14ac:dyDescent="0.25">
      <c r="B251">
        <v>11060</v>
      </c>
      <c r="C251" t="s">
        <v>111</v>
      </c>
      <c r="D251">
        <v>43220</v>
      </c>
      <c r="E251">
        <v>43248</v>
      </c>
      <c r="F251">
        <v>43224</v>
      </c>
      <c r="G251" t="s">
        <v>646</v>
      </c>
      <c r="H251">
        <v>54.900000000000006</v>
      </c>
      <c r="I251" t="s">
        <v>339</v>
      </c>
      <c r="J251" t="str">
        <f t="shared" si="3"/>
        <v>Apr</v>
      </c>
    </row>
    <row r="252" spans="2:10" hidden="1" x14ac:dyDescent="0.25">
      <c r="B252">
        <v>10328</v>
      </c>
      <c r="C252" t="s">
        <v>114</v>
      </c>
      <c r="D252">
        <v>42657</v>
      </c>
      <c r="E252">
        <v>42685</v>
      </c>
      <c r="F252">
        <v>42660</v>
      </c>
      <c r="G252" t="s">
        <v>647</v>
      </c>
      <c r="H252">
        <v>435.15</v>
      </c>
      <c r="I252" t="s">
        <v>340</v>
      </c>
      <c r="J252" t="str">
        <f t="shared" si="3"/>
        <v>Oct</v>
      </c>
    </row>
    <row r="253" spans="2:10" hidden="1" x14ac:dyDescent="0.25">
      <c r="B253">
        <v>10352</v>
      </c>
      <c r="C253" t="s">
        <v>114</v>
      </c>
      <c r="D253">
        <v>42686</v>
      </c>
      <c r="E253">
        <v>42700</v>
      </c>
      <c r="F253">
        <v>42692</v>
      </c>
      <c r="G253" t="s">
        <v>647</v>
      </c>
      <c r="H253">
        <v>6.5</v>
      </c>
      <c r="I253" t="s">
        <v>340</v>
      </c>
      <c r="J253" t="str">
        <f t="shared" si="3"/>
        <v>Nov</v>
      </c>
    </row>
    <row r="254" spans="2:10" hidden="1" x14ac:dyDescent="0.25">
      <c r="B254">
        <v>10464</v>
      </c>
      <c r="C254" t="s">
        <v>114</v>
      </c>
      <c r="D254">
        <v>42798</v>
      </c>
      <c r="E254">
        <v>42826</v>
      </c>
      <c r="F254">
        <v>42808</v>
      </c>
      <c r="G254" t="s">
        <v>646</v>
      </c>
      <c r="H254">
        <v>445</v>
      </c>
      <c r="I254" t="s">
        <v>340</v>
      </c>
      <c r="J254" t="str">
        <f t="shared" si="3"/>
        <v>Mar</v>
      </c>
    </row>
    <row r="255" spans="2:10" hidden="1" x14ac:dyDescent="0.25">
      <c r="B255">
        <v>10491</v>
      </c>
      <c r="C255" t="s">
        <v>114</v>
      </c>
      <c r="D255">
        <v>42825</v>
      </c>
      <c r="E255">
        <v>42853</v>
      </c>
      <c r="F255">
        <v>42833</v>
      </c>
      <c r="G255" t="s">
        <v>647</v>
      </c>
      <c r="H255">
        <v>84.800000000000011</v>
      </c>
      <c r="I255" t="s">
        <v>340</v>
      </c>
      <c r="J255" t="str">
        <f t="shared" si="3"/>
        <v>Mar</v>
      </c>
    </row>
    <row r="256" spans="2:10" hidden="1" x14ac:dyDescent="0.25">
      <c r="B256">
        <v>10551</v>
      </c>
      <c r="C256" t="s">
        <v>114</v>
      </c>
      <c r="D256">
        <v>42883</v>
      </c>
      <c r="E256">
        <v>42925</v>
      </c>
      <c r="F256">
        <v>42892</v>
      </c>
      <c r="G256" t="s">
        <v>647</v>
      </c>
      <c r="H256">
        <v>364.75</v>
      </c>
      <c r="I256" t="s">
        <v>340</v>
      </c>
      <c r="J256" t="str">
        <f t="shared" si="3"/>
        <v>May</v>
      </c>
    </row>
    <row r="257" spans="2:10" hidden="1" x14ac:dyDescent="0.25">
      <c r="B257">
        <v>10604</v>
      </c>
      <c r="C257" t="s">
        <v>114</v>
      </c>
      <c r="D257">
        <v>42934</v>
      </c>
      <c r="E257">
        <v>42962</v>
      </c>
      <c r="F257">
        <v>42945</v>
      </c>
      <c r="G257" t="s">
        <v>645</v>
      </c>
      <c r="H257">
        <v>37.299999999999997</v>
      </c>
      <c r="I257" t="s">
        <v>340</v>
      </c>
      <c r="J257" t="str">
        <f t="shared" si="3"/>
        <v>Jul</v>
      </c>
    </row>
    <row r="258" spans="2:10" hidden="1" x14ac:dyDescent="0.25">
      <c r="B258">
        <v>10664</v>
      </c>
      <c r="C258" t="s">
        <v>114</v>
      </c>
      <c r="D258">
        <v>42988</v>
      </c>
      <c r="E258">
        <v>43016</v>
      </c>
      <c r="F258">
        <v>42997</v>
      </c>
      <c r="G258" t="s">
        <v>647</v>
      </c>
      <c r="H258">
        <v>6.35</v>
      </c>
      <c r="I258" t="s">
        <v>340</v>
      </c>
      <c r="J258" t="str">
        <f t="shared" si="3"/>
        <v>Sep</v>
      </c>
    </row>
    <row r="259" spans="2:10" hidden="1" x14ac:dyDescent="0.25">
      <c r="B259">
        <v>10963</v>
      </c>
      <c r="C259" t="s">
        <v>114</v>
      </c>
      <c r="D259">
        <v>43178</v>
      </c>
      <c r="E259">
        <v>43206</v>
      </c>
      <c r="F259">
        <v>43185</v>
      </c>
      <c r="G259" t="s">
        <v>647</v>
      </c>
      <c r="H259">
        <v>13.5</v>
      </c>
      <c r="I259" t="s">
        <v>340</v>
      </c>
      <c r="J259" t="str">
        <f t="shared" si="3"/>
        <v>Mar</v>
      </c>
    </row>
    <row r="260" spans="2:10" hidden="1" x14ac:dyDescent="0.25">
      <c r="B260">
        <v>10366</v>
      </c>
      <c r="C260" t="s">
        <v>117</v>
      </c>
      <c r="D260">
        <v>42702</v>
      </c>
      <c r="E260">
        <v>42744</v>
      </c>
      <c r="F260">
        <v>42734</v>
      </c>
      <c r="G260" t="s">
        <v>646</v>
      </c>
      <c r="H260">
        <v>50.7</v>
      </c>
      <c r="I260" t="s">
        <v>341</v>
      </c>
      <c r="J260" t="str">
        <f t="shared" si="3"/>
        <v>Nov</v>
      </c>
    </row>
    <row r="261" spans="2:10" hidden="1" x14ac:dyDescent="0.25">
      <c r="B261">
        <v>10426</v>
      </c>
      <c r="C261" t="s">
        <v>117</v>
      </c>
      <c r="D261">
        <v>42762</v>
      </c>
      <c r="E261">
        <v>42790</v>
      </c>
      <c r="F261">
        <v>42772</v>
      </c>
      <c r="G261" t="s">
        <v>645</v>
      </c>
      <c r="H261">
        <v>93.45</v>
      </c>
      <c r="I261" t="s">
        <v>341</v>
      </c>
      <c r="J261" t="str">
        <f t="shared" si="3"/>
        <v>Jan</v>
      </c>
    </row>
    <row r="262" spans="2:10" hidden="1" x14ac:dyDescent="0.25">
      <c r="B262">
        <v>10568</v>
      </c>
      <c r="C262" t="s">
        <v>117</v>
      </c>
      <c r="D262">
        <v>42899</v>
      </c>
      <c r="E262">
        <v>42927</v>
      </c>
      <c r="F262">
        <v>42925</v>
      </c>
      <c r="G262" t="s">
        <v>647</v>
      </c>
      <c r="H262">
        <v>32.700000000000003</v>
      </c>
      <c r="I262" t="s">
        <v>341</v>
      </c>
      <c r="J262" t="str">
        <f t="shared" si="3"/>
        <v>Jun</v>
      </c>
    </row>
    <row r="263" spans="2:10" hidden="1" x14ac:dyDescent="0.25">
      <c r="B263">
        <v>10887</v>
      </c>
      <c r="C263" t="s">
        <v>117</v>
      </c>
      <c r="D263">
        <v>43144</v>
      </c>
      <c r="E263">
        <v>43172</v>
      </c>
      <c r="F263">
        <v>43147</v>
      </c>
      <c r="G263" t="s">
        <v>647</v>
      </c>
      <c r="H263">
        <v>6.25</v>
      </c>
      <c r="I263" t="s">
        <v>341</v>
      </c>
      <c r="J263" t="str">
        <f t="shared" si="3"/>
        <v>Feb</v>
      </c>
    </row>
    <row r="264" spans="2:10" hidden="1" x14ac:dyDescent="0.25">
      <c r="B264">
        <v>10928</v>
      </c>
      <c r="C264" t="s">
        <v>117</v>
      </c>
      <c r="D264">
        <v>43164</v>
      </c>
      <c r="E264">
        <v>43192</v>
      </c>
      <c r="F264">
        <v>43177</v>
      </c>
      <c r="G264" t="s">
        <v>645</v>
      </c>
      <c r="H264">
        <v>6.8000000000000007</v>
      </c>
      <c r="I264" t="s">
        <v>341</v>
      </c>
      <c r="J264" t="str">
        <f t="shared" si="3"/>
        <v>Mar</v>
      </c>
    </row>
    <row r="265" spans="2:10" hidden="1" x14ac:dyDescent="0.25">
      <c r="B265">
        <v>10303</v>
      </c>
      <c r="C265" t="s">
        <v>120</v>
      </c>
      <c r="D265">
        <v>42624</v>
      </c>
      <c r="E265">
        <v>42652</v>
      </c>
      <c r="F265">
        <v>42631</v>
      </c>
      <c r="G265" t="s">
        <v>646</v>
      </c>
      <c r="H265">
        <v>539.15</v>
      </c>
      <c r="I265" t="s">
        <v>342</v>
      </c>
      <c r="J265" t="str">
        <f t="shared" si="3"/>
        <v>Sep</v>
      </c>
    </row>
    <row r="266" spans="2:10" hidden="1" x14ac:dyDescent="0.25">
      <c r="B266">
        <v>10550</v>
      </c>
      <c r="C266" t="s">
        <v>120</v>
      </c>
      <c r="D266">
        <v>42883</v>
      </c>
      <c r="E266">
        <v>42911</v>
      </c>
      <c r="F266">
        <v>42892</v>
      </c>
      <c r="G266" t="s">
        <v>647</v>
      </c>
      <c r="H266">
        <v>21.6</v>
      </c>
      <c r="I266" t="s">
        <v>342</v>
      </c>
      <c r="J266" t="str">
        <f t="shared" si="3"/>
        <v>May</v>
      </c>
    </row>
    <row r="267" spans="2:10" hidden="1" x14ac:dyDescent="0.25">
      <c r="B267">
        <v>10629</v>
      </c>
      <c r="C267" t="s">
        <v>120</v>
      </c>
      <c r="D267">
        <v>42959</v>
      </c>
      <c r="E267">
        <v>42987</v>
      </c>
      <c r="F267">
        <v>42967</v>
      </c>
      <c r="G267" t="s">
        <v>647</v>
      </c>
      <c r="H267">
        <v>427.29999999999995</v>
      </c>
      <c r="I267" t="s">
        <v>342</v>
      </c>
      <c r="J267" t="str">
        <f t="shared" si="3"/>
        <v>Aug</v>
      </c>
    </row>
    <row r="268" spans="2:10" hidden="1" x14ac:dyDescent="0.25">
      <c r="B268">
        <v>10872</v>
      </c>
      <c r="C268" t="s">
        <v>120</v>
      </c>
      <c r="D268">
        <v>43136</v>
      </c>
      <c r="E268">
        <v>43164</v>
      </c>
      <c r="F268">
        <v>43140</v>
      </c>
      <c r="G268" t="s">
        <v>646</v>
      </c>
      <c r="H268">
        <v>876.59999999999991</v>
      </c>
      <c r="I268" t="s">
        <v>342</v>
      </c>
      <c r="J268" t="str">
        <f t="shared" si="3"/>
        <v>Feb</v>
      </c>
    </row>
    <row r="269" spans="2:10" hidden="1" x14ac:dyDescent="0.25">
      <c r="B269">
        <v>10874</v>
      </c>
      <c r="C269" t="s">
        <v>120</v>
      </c>
      <c r="D269">
        <v>43137</v>
      </c>
      <c r="E269">
        <v>43165</v>
      </c>
      <c r="F269">
        <v>43142</v>
      </c>
      <c r="G269" t="s">
        <v>646</v>
      </c>
      <c r="H269">
        <v>97.899999999999991</v>
      </c>
      <c r="I269" t="s">
        <v>342</v>
      </c>
      <c r="J269" t="str">
        <f t="shared" si="3"/>
        <v>Feb</v>
      </c>
    </row>
    <row r="270" spans="2:10" hidden="1" x14ac:dyDescent="0.25">
      <c r="B270">
        <v>10888</v>
      </c>
      <c r="C270" t="s">
        <v>120</v>
      </c>
      <c r="D270">
        <v>43147</v>
      </c>
      <c r="E270">
        <v>43175</v>
      </c>
      <c r="F270">
        <v>43154</v>
      </c>
      <c r="G270" t="s">
        <v>646</v>
      </c>
      <c r="H270">
        <v>259.34999999999997</v>
      </c>
      <c r="I270" t="s">
        <v>342</v>
      </c>
      <c r="J270" t="str">
        <f t="shared" si="3"/>
        <v>Feb</v>
      </c>
    </row>
    <row r="271" spans="2:10" hidden="1" x14ac:dyDescent="0.25">
      <c r="B271">
        <v>10911</v>
      </c>
      <c r="C271" t="s">
        <v>120</v>
      </c>
      <c r="D271">
        <v>43157</v>
      </c>
      <c r="E271">
        <v>43185</v>
      </c>
      <c r="F271">
        <v>43164</v>
      </c>
      <c r="G271" t="s">
        <v>645</v>
      </c>
      <c r="H271">
        <v>190.95</v>
      </c>
      <c r="I271" t="s">
        <v>342</v>
      </c>
      <c r="J271" t="str">
        <f t="shared" si="3"/>
        <v>Feb</v>
      </c>
    </row>
    <row r="272" spans="2:10" hidden="1" x14ac:dyDescent="0.25">
      <c r="B272">
        <v>10948</v>
      </c>
      <c r="C272" t="s">
        <v>120</v>
      </c>
      <c r="D272">
        <v>43172</v>
      </c>
      <c r="E272">
        <v>43200</v>
      </c>
      <c r="F272">
        <v>43178</v>
      </c>
      <c r="G272" t="s">
        <v>647</v>
      </c>
      <c r="H272">
        <v>116.95</v>
      </c>
      <c r="I272" t="s">
        <v>342</v>
      </c>
      <c r="J272" t="str">
        <f t="shared" si="3"/>
        <v>Mar</v>
      </c>
    </row>
    <row r="273" spans="2:10" hidden="1" x14ac:dyDescent="0.25">
      <c r="B273">
        <v>11009</v>
      </c>
      <c r="C273" t="s">
        <v>120</v>
      </c>
      <c r="D273">
        <v>43198</v>
      </c>
      <c r="E273">
        <v>43226</v>
      </c>
      <c r="F273">
        <v>43200</v>
      </c>
      <c r="G273" t="s">
        <v>645</v>
      </c>
      <c r="H273">
        <v>295.55</v>
      </c>
      <c r="I273" t="s">
        <v>342</v>
      </c>
      <c r="J273" t="str">
        <f t="shared" ref="J273:J336" si="4">TEXT(D273,"mmm")</f>
        <v>Apr</v>
      </c>
    </row>
    <row r="274" spans="2:10" hidden="1" x14ac:dyDescent="0.25">
      <c r="B274">
        <v>11037</v>
      </c>
      <c r="C274" t="s">
        <v>120</v>
      </c>
      <c r="D274">
        <v>43211</v>
      </c>
      <c r="E274">
        <v>43239</v>
      </c>
      <c r="F274">
        <v>43217</v>
      </c>
      <c r="G274" t="s">
        <v>645</v>
      </c>
      <c r="H274">
        <v>16</v>
      </c>
      <c r="I274" t="s">
        <v>342</v>
      </c>
      <c r="J274" t="str">
        <f t="shared" si="4"/>
        <v>Apr</v>
      </c>
    </row>
    <row r="275" spans="2:10" hidden="1" x14ac:dyDescent="0.25">
      <c r="B275">
        <v>10423</v>
      </c>
      <c r="C275" t="s">
        <v>122</v>
      </c>
      <c r="D275">
        <v>42758</v>
      </c>
      <c r="E275">
        <v>42772</v>
      </c>
      <c r="F275">
        <v>42790</v>
      </c>
      <c r="G275" t="s">
        <v>647</v>
      </c>
      <c r="H275">
        <v>122.5</v>
      </c>
      <c r="I275" t="s">
        <v>343</v>
      </c>
      <c r="J275" t="str">
        <f t="shared" si="4"/>
        <v>Jan</v>
      </c>
    </row>
    <row r="276" spans="2:10" hidden="1" x14ac:dyDescent="0.25">
      <c r="B276">
        <v>10652</v>
      </c>
      <c r="C276" t="s">
        <v>122</v>
      </c>
      <c r="D276">
        <v>42979</v>
      </c>
      <c r="E276">
        <v>43007</v>
      </c>
      <c r="F276">
        <v>42986</v>
      </c>
      <c r="G276" t="s">
        <v>646</v>
      </c>
      <c r="H276">
        <v>35.699999999999996</v>
      </c>
      <c r="I276" t="s">
        <v>343</v>
      </c>
      <c r="J276" t="str">
        <f t="shared" si="4"/>
        <v>Sep</v>
      </c>
    </row>
    <row r="277" spans="2:10" hidden="1" x14ac:dyDescent="0.25">
      <c r="B277">
        <v>10685</v>
      </c>
      <c r="C277" t="s">
        <v>122</v>
      </c>
      <c r="D277">
        <v>43007</v>
      </c>
      <c r="E277">
        <v>43021</v>
      </c>
      <c r="F277">
        <v>43011</v>
      </c>
      <c r="G277" t="s">
        <v>646</v>
      </c>
      <c r="H277">
        <v>168.75</v>
      </c>
      <c r="I277" t="s">
        <v>343</v>
      </c>
      <c r="J277" t="str">
        <f t="shared" si="4"/>
        <v>Sep</v>
      </c>
    </row>
    <row r="278" spans="2:10" hidden="1" x14ac:dyDescent="0.25">
      <c r="B278">
        <v>10709</v>
      </c>
      <c r="C278" t="s">
        <v>122</v>
      </c>
      <c r="D278">
        <v>43025</v>
      </c>
      <c r="E278">
        <v>43053</v>
      </c>
      <c r="F278">
        <v>43059</v>
      </c>
      <c r="G278" t="s">
        <v>647</v>
      </c>
      <c r="H278">
        <v>1054</v>
      </c>
      <c r="I278" t="s">
        <v>343</v>
      </c>
      <c r="J278" t="str">
        <f t="shared" si="4"/>
        <v>Oct</v>
      </c>
    </row>
    <row r="279" spans="2:10" hidden="1" x14ac:dyDescent="0.25">
      <c r="B279">
        <v>10734</v>
      </c>
      <c r="C279" t="s">
        <v>122</v>
      </c>
      <c r="D279">
        <v>43046</v>
      </c>
      <c r="E279">
        <v>43074</v>
      </c>
      <c r="F279">
        <v>43051</v>
      </c>
      <c r="G279" t="s">
        <v>647</v>
      </c>
      <c r="H279">
        <v>8.1499999999999986</v>
      </c>
      <c r="I279" t="s">
        <v>343</v>
      </c>
      <c r="J279" t="str">
        <f t="shared" si="4"/>
        <v>Nov</v>
      </c>
    </row>
    <row r="280" spans="2:10" hidden="1" x14ac:dyDescent="0.25">
      <c r="B280">
        <v>10777</v>
      </c>
      <c r="C280" t="s">
        <v>122</v>
      </c>
      <c r="D280">
        <v>43084</v>
      </c>
      <c r="E280">
        <v>43098</v>
      </c>
      <c r="F280">
        <v>43121</v>
      </c>
      <c r="G280" t="s">
        <v>646</v>
      </c>
      <c r="H280">
        <v>15.049999999999999</v>
      </c>
      <c r="I280" t="s">
        <v>343</v>
      </c>
      <c r="J280" t="str">
        <f t="shared" si="4"/>
        <v>Dec</v>
      </c>
    </row>
    <row r="281" spans="2:10" hidden="1" x14ac:dyDescent="0.25">
      <c r="B281">
        <v>10790</v>
      </c>
      <c r="C281" t="s">
        <v>122</v>
      </c>
      <c r="D281">
        <v>43091</v>
      </c>
      <c r="E281">
        <v>43119</v>
      </c>
      <c r="F281">
        <v>43095</v>
      </c>
      <c r="G281" t="s">
        <v>645</v>
      </c>
      <c r="H281">
        <v>141.15</v>
      </c>
      <c r="I281" t="s">
        <v>343</v>
      </c>
      <c r="J281" t="str">
        <f t="shared" si="4"/>
        <v>Dec</v>
      </c>
    </row>
    <row r="282" spans="2:10" hidden="1" x14ac:dyDescent="0.25">
      <c r="B282">
        <v>10959</v>
      </c>
      <c r="C282" t="s">
        <v>122</v>
      </c>
      <c r="D282">
        <v>43177</v>
      </c>
      <c r="E282">
        <v>43219</v>
      </c>
      <c r="F282">
        <v>43182</v>
      </c>
      <c r="G282" t="s">
        <v>646</v>
      </c>
      <c r="H282">
        <v>24.900000000000002</v>
      </c>
      <c r="I282" t="s">
        <v>343</v>
      </c>
      <c r="J282" t="str">
        <f t="shared" si="4"/>
        <v>Mar</v>
      </c>
    </row>
    <row r="283" spans="2:10" hidden="1" x14ac:dyDescent="0.25">
      <c r="B283">
        <v>11049</v>
      </c>
      <c r="C283" t="s">
        <v>122</v>
      </c>
      <c r="D283">
        <v>43214</v>
      </c>
      <c r="E283">
        <v>43242</v>
      </c>
      <c r="F283">
        <v>43224</v>
      </c>
      <c r="G283" t="s">
        <v>645</v>
      </c>
      <c r="H283">
        <v>41.7</v>
      </c>
      <c r="I283" t="s">
        <v>343</v>
      </c>
      <c r="J283" t="str">
        <f t="shared" si="4"/>
        <v>Apr</v>
      </c>
    </row>
    <row r="284" spans="2:10" hidden="1" x14ac:dyDescent="0.25">
      <c r="B284">
        <v>10528</v>
      </c>
      <c r="C284" t="s">
        <v>124</v>
      </c>
      <c r="D284">
        <v>42861</v>
      </c>
      <c r="E284">
        <v>42875</v>
      </c>
      <c r="F284">
        <v>42864</v>
      </c>
      <c r="G284" t="s">
        <v>646</v>
      </c>
      <c r="H284">
        <v>16.75</v>
      </c>
      <c r="I284" t="s">
        <v>344</v>
      </c>
      <c r="J284" t="str">
        <f t="shared" si="4"/>
        <v>May</v>
      </c>
    </row>
    <row r="285" spans="2:10" hidden="1" x14ac:dyDescent="0.25">
      <c r="B285">
        <v>10589</v>
      </c>
      <c r="C285" t="s">
        <v>124</v>
      </c>
      <c r="D285">
        <v>42920</v>
      </c>
      <c r="E285">
        <v>42948</v>
      </c>
      <c r="F285">
        <v>42930</v>
      </c>
      <c r="G285" t="s">
        <v>646</v>
      </c>
      <c r="H285">
        <v>22.1</v>
      </c>
      <c r="I285" t="s">
        <v>344</v>
      </c>
      <c r="J285" t="str">
        <f t="shared" si="4"/>
        <v>Jul</v>
      </c>
    </row>
    <row r="286" spans="2:10" hidden="1" x14ac:dyDescent="0.25">
      <c r="B286">
        <v>10616</v>
      </c>
      <c r="C286" t="s">
        <v>124</v>
      </c>
      <c r="D286">
        <v>42947</v>
      </c>
      <c r="E286">
        <v>42975</v>
      </c>
      <c r="F286">
        <v>42952</v>
      </c>
      <c r="G286" t="s">
        <v>646</v>
      </c>
      <c r="H286">
        <v>582.65</v>
      </c>
      <c r="I286" t="s">
        <v>344</v>
      </c>
      <c r="J286" t="str">
        <f t="shared" si="4"/>
        <v>Jul</v>
      </c>
    </row>
    <row r="287" spans="2:10" hidden="1" x14ac:dyDescent="0.25">
      <c r="B287">
        <v>10617</v>
      </c>
      <c r="C287" t="s">
        <v>124</v>
      </c>
      <c r="D287">
        <v>42947</v>
      </c>
      <c r="E287">
        <v>42975</v>
      </c>
      <c r="F287">
        <v>42951</v>
      </c>
      <c r="G287" t="s">
        <v>646</v>
      </c>
      <c r="H287">
        <v>92.65</v>
      </c>
      <c r="I287" t="s">
        <v>344</v>
      </c>
      <c r="J287" t="str">
        <f t="shared" si="4"/>
        <v>Jul</v>
      </c>
    </row>
    <row r="288" spans="2:10" hidden="1" x14ac:dyDescent="0.25">
      <c r="B288">
        <v>10656</v>
      </c>
      <c r="C288" t="s">
        <v>124</v>
      </c>
      <c r="D288">
        <v>42982</v>
      </c>
      <c r="E288">
        <v>43010</v>
      </c>
      <c r="F288">
        <v>42988</v>
      </c>
      <c r="G288" t="s">
        <v>645</v>
      </c>
      <c r="H288">
        <v>285.75</v>
      </c>
      <c r="I288" t="s">
        <v>344</v>
      </c>
      <c r="J288" t="str">
        <f t="shared" si="4"/>
        <v>Sep</v>
      </c>
    </row>
    <row r="289" spans="2:10" hidden="1" x14ac:dyDescent="0.25">
      <c r="B289">
        <v>10681</v>
      </c>
      <c r="C289" t="s">
        <v>124</v>
      </c>
      <c r="D289">
        <v>43003</v>
      </c>
      <c r="E289">
        <v>43031</v>
      </c>
      <c r="F289">
        <v>43008</v>
      </c>
      <c r="G289" t="s">
        <v>647</v>
      </c>
      <c r="H289">
        <v>380.65</v>
      </c>
      <c r="I289" t="s">
        <v>344</v>
      </c>
      <c r="J289" t="str">
        <f t="shared" si="4"/>
        <v>Sep</v>
      </c>
    </row>
    <row r="290" spans="2:10" hidden="1" x14ac:dyDescent="0.25">
      <c r="B290">
        <v>10816</v>
      </c>
      <c r="C290" t="s">
        <v>124</v>
      </c>
      <c r="D290">
        <v>43106</v>
      </c>
      <c r="E290">
        <v>43134</v>
      </c>
      <c r="F290">
        <v>43135</v>
      </c>
      <c r="G290" t="s">
        <v>646</v>
      </c>
      <c r="H290">
        <v>3598.8999999999996</v>
      </c>
      <c r="I290" t="s">
        <v>344</v>
      </c>
      <c r="J290" t="str">
        <f t="shared" si="4"/>
        <v>Jan</v>
      </c>
    </row>
    <row r="291" spans="2:10" hidden="1" x14ac:dyDescent="0.25">
      <c r="B291">
        <v>10936</v>
      </c>
      <c r="C291" t="s">
        <v>124</v>
      </c>
      <c r="D291">
        <v>43168</v>
      </c>
      <c r="E291">
        <v>43196</v>
      </c>
      <c r="F291">
        <v>43177</v>
      </c>
      <c r="G291" t="s">
        <v>646</v>
      </c>
      <c r="H291">
        <v>168.4</v>
      </c>
      <c r="I291" t="s">
        <v>344</v>
      </c>
      <c r="J291" t="str">
        <f t="shared" si="4"/>
        <v>Mar</v>
      </c>
    </row>
    <row r="292" spans="2:10" hidden="1" x14ac:dyDescent="0.25">
      <c r="B292">
        <v>11006</v>
      </c>
      <c r="C292" t="s">
        <v>124</v>
      </c>
      <c r="D292">
        <v>43197</v>
      </c>
      <c r="E292">
        <v>43225</v>
      </c>
      <c r="F292">
        <v>43205</v>
      </c>
      <c r="G292" t="s">
        <v>646</v>
      </c>
      <c r="H292">
        <v>125.95</v>
      </c>
      <c r="I292" t="s">
        <v>344</v>
      </c>
      <c r="J292" t="str">
        <f t="shared" si="4"/>
        <v>Apr</v>
      </c>
    </row>
    <row r="293" spans="2:10" hidden="1" x14ac:dyDescent="0.25">
      <c r="B293">
        <v>11040</v>
      </c>
      <c r="C293" t="s">
        <v>124</v>
      </c>
      <c r="D293">
        <v>43212</v>
      </c>
      <c r="E293">
        <v>43240</v>
      </c>
      <c r="F293"/>
      <c r="G293" t="s">
        <v>647</v>
      </c>
      <c r="H293">
        <v>94.2</v>
      </c>
      <c r="I293" t="s">
        <v>344</v>
      </c>
      <c r="J293" t="str">
        <f t="shared" si="4"/>
        <v>Apr</v>
      </c>
    </row>
    <row r="294" spans="2:10" hidden="1" x14ac:dyDescent="0.25">
      <c r="B294">
        <v>11061</v>
      </c>
      <c r="C294" t="s">
        <v>124</v>
      </c>
      <c r="D294">
        <v>43220</v>
      </c>
      <c r="E294">
        <v>43262</v>
      </c>
      <c r="F294"/>
      <c r="G294" t="s">
        <v>647</v>
      </c>
      <c r="H294">
        <v>70.05</v>
      </c>
      <c r="I294" t="s">
        <v>344</v>
      </c>
      <c r="J294" t="str">
        <f t="shared" si="4"/>
        <v>Apr</v>
      </c>
    </row>
    <row r="295" spans="2:10" hidden="1" x14ac:dyDescent="0.25">
      <c r="B295">
        <v>10268</v>
      </c>
      <c r="C295" t="s">
        <v>127</v>
      </c>
      <c r="D295">
        <v>42581</v>
      </c>
      <c r="E295">
        <v>42609</v>
      </c>
      <c r="F295">
        <v>42584</v>
      </c>
      <c r="G295" t="s">
        <v>647</v>
      </c>
      <c r="H295">
        <v>331.45000000000005</v>
      </c>
      <c r="I295" t="s">
        <v>345</v>
      </c>
      <c r="J295" t="str">
        <f t="shared" si="4"/>
        <v>Jul</v>
      </c>
    </row>
    <row r="296" spans="2:10" hidden="1" x14ac:dyDescent="0.25">
      <c r="B296">
        <v>10785</v>
      </c>
      <c r="C296" t="s">
        <v>127</v>
      </c>
      <c r="D296">
        <v>43087</v>
      </c>
      <c r="E296">
        <v>43115</v>
      </c>
      <c r="F296">
        <v>43093</v>
      </c>
      <c r="G296" t="s">
        <v>647</v>
      </c>
      <c r="H296">
        <v>7.55</v>
      </c>
      <c r="I296" t="s">
        <v>345</v>
      </c>
      <c r="J296" t="str">
        <f t="shared" si="4"/>
        <v>Dec</v>
      </c>
    </row>
    <row r="297" spans="2:10" hidden="1" x14ac:dyDescent="0.25">
      <c r="B297">
        <v>10250</v>
      </c>
      <c r="C297" t="s">
        <v>130</v>
      </c>
      <c r="D297">
        <v>42559</v>
      </c>
      <c r="E297">
        <v>42587</v>
      </c>
      <c r="F297">
        <v>42563</v>
      </c>
      <c r="G297" t="s">
        <v>646</v>
      </c>
      <c r="H297">
        <v>329.15</v>
      </c>
      <c r="I297" t="s">
        <v>346</v>
      </c>
      <c r="J297" t="str">
        <f t="shared" si="4"/>
        <v>Jul</v>
      </c>
    </row>
    <row r="298" spans="2:10" hidden="1" x14ac:dyDescent="0.25">
      <c r="B298">
        <v>10253</v>
      </c>
      <c r="C298" t="s">
        <v>130</v>
      </c>
      <c r="D298">
        <v>42561</v>
      </c>
      <c r="E298">
        <v>42575</v>
      </c>
      <c r="F298">
        <v>42567</v>
      </c>
      <c r="G298" t="s">
        <v>646</v>
      </c>
      <c r="H298">
        <v>290.85000000000002</v>
      </c>
      <c r="I298" t="s">
        <v>346</v>
      </c>
      <c r="J298" t="str">
        <f t="shared" si="4"/>
        <v>Jul</v>
      </c>
    </row>
    <row r="299" spans="2:10" hidden="1" x14ac:dyDescent="0.25">
      <c r="B299">
        <v>10541</v>
      </c>
      <c r="C299" t="s">
        <v>130</v>
      </c>
      <c r="D299">
        <v>42874</v>
      </c>
      <c r="E299">
        <v>42902</v>
      </c>
      <c r="F299">
        <v>42884</v>
      </c>
      <c r="G299" t="s">
        <v>645</v>
      </c>
      <c r="H299">
        <v>343.25</v>
      </c>
      <c r="I299" t="s">
        <v>346</v>
      </c>
      <c r="J299" t="str">
        <f t="shared" si="4"/>
        <v>May</v>
      </c>
    </row>
    <row r="300" spans="2:10" hidden="1" x14ac:dyDescent="0.25">
      <c r="B300">
        <v>10645</v>
      </c>
      <c r="C300" t="s">
        <v>130</v>
      </c>
      <c r="D300">
        <v>42973</v>
      </c>
      <c r="E300">
        <v>43001</v>
      </c>
      <c r="F300">
        <v>42980</v>
      </c>
      <c r="G300" t="s">
        <v>645</v>
      </c>
      <c r="H300">
        <v>62.05</v>
      </c>
      <c r="I300" t="s">
        <v>346</v>
      </c>
      <c r="J300" t="str">
        <f t="shared" si="4"/>
        <v>Aug</v>
      </c>
    </row>
    <row r="301" spans="2:10" hidden="1" x14ac:dyDescent="0.25">
      <c r="B301">
        <v>10690</v>
      </c>
      <c r="C301" t="s">
        <v>130</v>
      </c>
      <c r="D301">
        <v>43010</v>
      </c>
      <c r="E301">
        <v>43038</v>
      </c>
      <c r="F301">
        <v>43011</v>
      </c>
      <c r="G301" t="s">
        <v>645</v>
      </c>
      <c r="H301">
        <v>79</v>
      </c>
      <c r="I301" t="s">
        <v>346</v>
      </c>
      <c r="J301" t="str">
        <f t="shared" si="4"/>
        <v>Oct</v>
      </c>
    </row>
    <row r="302" spans="2:10" hidden="1" x14ac:dyDescent="0.25">
      <c r="B302">
        <v>10770</v>
      </c>
      <c r="C302" t="s">
        <v>130</v>
      </c>
      <c r="D302">
        <v>43078</v>
      </c>
      <c r="E302">
        <v>43106</v>
      </c>
      <c r="F302">
        <v>43086</v>
      </c>
      <c r="G302" t="s">
        <v>647</v>
      </c>
      <c r="H302">
        <v>26.6</v>
      </c>
      <c r="I302" t="s">
        <v>346</v>
      </c>
      <c r="J302" t="str">
        <f t="shared" si="4"/>
        <v>Dec</v>
      </c>
    </row>
    <row r="303" spans="2:10" hidden="1" x14ac:dyDescent="0.25">
      <c r="B303">
        <v>10783</v>
      </c>
      <c r="C303" t="s">
        <v>130</v>
      </c>
      <c r="D303">
        <v>43087</v>
      </c>
      <c r="E303">
        <v>43115</v>
      </c>
      <c r="F303">
        <v>43088</v>
      </c>
      <c r="G303" t="s">
        <v>646</v>
      </c>
      <c r="H303">
        <v>624.9</v>
      </c>
      <c r="I303" t="s">
        <v>346</v>
      </c>
      <c r="J303" t="str">
        <f t="shared" si="4"/>
        <v>Dec</v>
      </c>
    </row>
    <row r="304" spans="2:10" hidden="1" x14ac:dyDescent="0.25">
      <c r="B304">
        <v>10886</v>
      </c>
      <c r="C304" t="s">
        <v>130</v>
      </c>
      <c r="D304">
        <v>43144</v>
      </c>
      <c r="E304">
        <v>43172</v>
      </c>
      <c r="F304">
        <v>43161</v>
      </c>
      <c r="G304" t="s">
        <v>645</v>
      </c>
      <c r="H304">
        <v>24.950000000000003</v>
      </c>
      <c r="I304" t="s">
        <v>346</v>
      </c>
      <c r="J304" t="str">
        <f t="shared" si="4"/>
        <v>Feb</v>
      </c>
    </row>
    <row r="305" spans="2:10" hidden="1" x14ac:dyDescent="0.25">
      <c r="B305">
        <v>10903</v>
      </c>
      <c r="C305" t="s">
        <v>130</v>
      </c>
      <c r="D305">
        <v>43155</v>
      </c>
      <c r="E305">
        <v>43183</v>
      </c>
      <c r="F305">
        <v>43163</v>
      </c>
      <c r="G305" t="s">
        <v>647</v>
      </c>
      <c r="H305">
        <v>183.55</v>
      </c>
      <c r="I305" t="s">
        <v>346</v>
      </c>
      <c r="J305" t="str">
        <f t="shared" si="4"/>
        <v>Feb</v>
      </c>
    </row>
    <row r="306" spans="2:10" hidden="1" x14ac:dyDescent="0.25">
      <c r="B306">
        <v>10922</v>
      </c>
      <c r="C306" t="s">
        <v>130</v>
      </c>
      <c r="D306">
        <v>43162</v>
      </c>
      <c r="E306">
        <v>43190</v>
      </c>
      <c r="F306">
        <v>43164</v>
      </c>
      <c r="G306" t="s">
        <v>647</v>
      </c>
      <c r="H306">
        <v>313.7</v>
      </c>
      <c r="I306" t="s">
        <v>346</v>
      </c>
      <c r="J306" t="str">
        <f t="shared" si="4"/>
        <v>Mar</v>
      </c>
    </row>
    <row r="307" spans="2:10" hidden="1" x14ac:dyDescent="0.25">
      <c r="B307">
        <v>10925</v>
      </c>
      <c r="C307" t="s">
        <v>130</v>
      </c>
      <c r="D307">
        <v>43163</v>
      </c>
      <c r="E307">
        <v>43191</v>
      </c>
      <c r="F307">
        <v>43172</v>
      </c>
      <c r="G307" t="s">
        <v>645</v>
      </c>
      <c r="H307">
        <v>11.35</v>
      </c>
      <c r="I307" t="s">
        <v>346</v>
      </c>
      <c r="J307" t="str">
        <f t="shared" si="4"/>
        <v>Mar</v>
      </c>
    </row>
    <row r="308" spans="2:10" hidden="1" x14ac:dyDescent="0.25">
      <c r="B308">
        <v>10981</v>
      </c>
      <c r="C308" t="s">
        <v>130</v>
      </c>
      <c r="D308">
        <v>43186</v>
      </c>
      <c r="E308">
        <v>43214</v>
      </c>
      <c r="F308">
        <v>43192</v>
      </c>
      <c r="G308" t="s">
        <v>646</v>
      </c>
      <c r="H308">
        <v>966.85</v>
      </c>
      <c r="I308" t="s">
        <v>346</v>
      </c>
      <c r="J308" t="str">
        <f t="shared" si="4"/>
        <v>Mar</v>
      </c>
    </row>
    <row r="309" spans="2:10" hidden="1" x14ac:dyDescent="0.25">
      <c r="B309">
        <v>11022</v>
      </c>
      <c r="C309" t="s">
        <v>130</v>
      </c>
      <c r="D309">
        <v>43204</v>
      </c>
      <c r="E309">
        <v>43232</v>
      </c>
      <c r="F309">
        <v>43224</v>
      </c>
      <c r="G309" t="s">
        <v>646</v>
      </c>
      <c r="H309">
        <v>31.349999999999998</v>
      </c>
      <c r="I309" t="s">
        <v>346</v>
      </c>
      <c r="J309" t="str">
        <f t="shared" si="4"/>
        <v>Apr</v>
      </c>
    </row>
    <row r="310" spans="2:10" hidden="1" x14ac:dyDescent="0.25">
      <c r="B310">
        <v>11052</v>
      </c>
      <c r="C310" t="s">
        <v>130</v>
      </c>
      <c r="D310">
        <v>43217</v>
      </c>
      <c r="E310">
        <v>43245</v>
      </c>
      <c r="F310">
        <v>43221</v>
      </c>
      <c r="G310" t="s">
        <v>645</v>
      </c>
      <c r="H310">
        <v>336.3</v>
      </c>
      <c r="I310" t="s">
        <v>346</v>
      </c>
      <c r="J310" t="str">
        <f t="shared" si="4"/>
        <v>Apr</v>
      </c>
    </row>
    <row r="311" spans="2:10" hidden="1" x14ac:dyDescent="0.25">
      <c r="B311">
        <v>10257</v>
      </c>
      <c r="C311" t="s">
        <v>134</v>
      </c>
      <c r="D311">
        <v>42567</v>
      </c>
      <c r="E311">
        <v>42595</v>
      </c>
      <c r="F311">
        <v>42573</v>
      </c>
      <c r="G311" t="s">
        <v>647</v>
      </c>
      <c r="H311">
        <v>409.54999999999995</v>
      </c>
      <c r="I311" t="s">
        <v>347</v>
      </c>
      <c r="J311" t="str">
        <f t="shared" si="4"/>
        <v>Jul</v>
      </c>
    </row>
    <row r="312" spans="2:10" hidden="1" x14ac:dyDescent="0.25">
      <c r="B312">
        <v>10395</v>
      </c>
      <c r="C312" t="s">
        <v>134</v>
      </c>
      <c r="D312">
        <v>42730</v>
      </c>
      <c r="E312">
        <v>42758</v>
      </c>
      <c r="F312">
        <v>42738</v>
      </c>
      <c r="G312" t="s">
        <v>645</v>
      </c>
      <c r="H312">
        <v>922.05</v>
      </c>
      <c r="I312" t="s">
        <v>347</v>
      </c>
      <c r="J312" t="str">
        <f t="shared" si="4"/>
        <v>Dec</v>
      </c>
    </row>
    <row r="313" spans="2:10" hidden="1" x14ac:dyDescent="0.25">
      <c r="B313">
        <v>10476</v>
      </c>
      <c r="C313" t="s">
        <v>134</v>
      </c>
      <c r="D313">
        <v>42811</v>
      </c>
      <c r="E313">
        <v>42839</v>
      </c>
      <c r="F313">
        <v>42818</v>
      </c>
      <c r="G313" t="s">
        <v>647</v>
      </c>
      <c r="H313">
        <v>22.05</v>
      </c>
      <c r="I313" t="s">
        <v>347</v>
      </c>
      <c r="J313" t="str">
        <f t="shared" si="4"/>
        <v>Mar</v>
      </c>
    </row>
    <row r="314" spans="2:10" hidden="1" x14ac:dyDescent="0.25">
      <c r="B314">
        <v>10486</v>
      </c>
      <c r="C314" t="s">
        <v>134</v>
      </c>
      <c r="D314">
        <v>42820</v>
      </c>
      <c r="E314">
        <v>42848</v>
      </c>
      <c r="F314">
        <v>42827</v>
      </c>
      <c r="G314" t="s">
        <v>646</v>
      </c>
      <c r="H314">
        <v>152.65</v>
      </c>
      <c r="I314" t="s">
        <v>347</v>
      </c>
      <c r="J314" t="str">
        <f t="shared" si="4"/>
        <v>Mar</v>
      </c>
    </row>
    <row r="315" spans="2:10" hidden="1" x14ac:dyDescent="0.25">
      <c r="B315">
        <v>10490</v>
      </c>
      <c r="C315" t="s">
        <v>134</v>
      </c>
      <c r="D315">
        <v>42825</v>
      </c>
      <c r="E315">
        <v>42853</v>
      </c>
      <c r="F315">
        <v>42828</v>
      </c>
      <c r="G315" t="s">
        <v>646</v>
      </c>
      <c r="H315">
        <v>1050.95</v>
      </c>
      <c r="I315" t="s">
        <v>347</v>
      </c>
      <c r="J315" t="str">
        <f t="shared" si="4"/>
        <v>Mar</v>
      </c>
    </row>
    <row r="316" spans="2:10" hidden="1" x14ac:dyDescent="0.25">
      <c r="B316">
        <v>10498</v>
      </c>
      <c r="C316" t="s">
        <v>134</v>
      </c>
      <c r="D316">
        <v>42832</v>
      </c>
      <c r="E316">
        <v>42860</v>
      </c>
      <c r="F316">
        <v>42836</v>
      </c>
      <c r="G316" t="s">
        <v>646</v>
      </c>
      <c r="H316">
        <v>148.75</v>
      </c>
      <c r="I316" t="s">
        <v>347</v>
      </c>
      <c r="J316" t="str">
        <f t="shared" si="4"/>
        <v>Apr</v>
      </c>
    </row>
    <row r="317" spans="2:10" hidden="1" x14ac:dyDescent="0.25">
      <c r="B317">
        <v>10552</v>
      </c>
      <c r="C317" t="s">
        <v>134</v>
      </c>
      <c r="D317">
        <v>42884</v>
      </c>
      <c r="E317">
        <v>42912</v>
      </c>
      <c r="F317">
        <v>42891</v>
      </c>
      <c r="G317" t="s">
        <v>645</v>
      </c>
      <c r="H317">
        <v>416.1</v>
      </c>
      <c r="I317" t="s">
        <v>347</v>
      </c>
      <c r="J317" t="str">
        <f t="shared" si="4"/>
        <v>May</v>
      </c>
    </row>
    <row r="318" spans="2:10" hidden="1" x14ac:dyDescent="0.25">
      <c r="B318">
        <v>10601</v>
      </c>
      <c r="C318" t="s">
        <v>134</v>
      </c>
      <c r="D318">
        <v>42932</v>
      </c>
      <c r="E318">
        <v>42974</v>
      </c>
      <c r="F318">
        <v>42938</v>
      </c>
      <c r="G318" t="s">
        <v>645</v>
      </c>
      <c r="H318">
        <v>291.5</v>
      </c>
      <c r="I318" t="s">
        <v>347</v>
      </c>
      <c r="J318" t="str">
        <f t="shared" si="4"/>
        <v>Jul</v>
      </c>
    </row>
    <row r="319" spans="2:10" hidden="1" x14ac:dyDescent="0.25">
      <c r="B319">
        <v>10613</v>
      </c>
      <c r="C319" t="s">
        <v>134</v>
      </c>
      <c r="D319">
        <v>42945</v>
      </c>
      <c r="E319">
        <v>42973</v>
      </c>
      <c r="F319">
        <v>42948</v>
      </c>
      <c r="G319" t="s">
        <v>646</v>
      </c>
      <c r="H319">
        <v>40.549999999999997</v>
      </c>
      <c r="I319" t="s">
        <v>347</v>
      </c>
      <c r="J319" t="str">
        <f t="shared" si="4"/>
        <v>Jul</v>
      </c>
    </row>
    <row r="320" spans="2:10" hidden="1" x14ac:dyDescent="0.25">
      <c r="B320">
        <v>10641</v>
      </c>
      <c r="C320" t="s">
        <v>134</v>
      </c>
      <c r="D320">
        <v>42969</v>
      </c>
      <c r="E320">
        <v>42997</v>
      </c>
      <c r="F320">
        <v>42973</v>
      </c>
      <c r="G320" t="s">
        <v>646</v>
      </c>
      <c r="H320">
        <v>898.05000000000007</v>
      </c>
      <c r="I320" t="s">
        <v>347</v>
      </c>
      <c r="J320" t="str">
        <f t="shared" si="4"/>
        <v>Aug</v>
      </c>
    </row>
    <row r="321" spans="2:10" hidden="1" x14ac:dyDescent="0.25">
      <c r="B321">
        <v>10705</v>
      </c>
      <c r="C321" t="s">
        <v>134</v>
      </c>
      <c r="D321">
        <v>43023</v>
      </c>
      <c r="E321">
        <v>43051</v>
      </c>
      <c r="F321">
        <v>43057</v>
      </c>
      <c r="G321" t="s">
        <v>646</v>
      </c>
      <c r="H321">
        <v>17.600000000000001</v>
      </c>
      <c r="I321" t="s">
        <v>347</v>
      </c>
      <c r="J321" t="str">
        <f t="shared" si="4"/>
        <v>Oct</v>
      </c>
    </row>
    <row r="322" spans="2:10" hidden="1" x14ac:dyDescent="0.25">
      <c r="B322">
        <v>10796</v>
      </c>
      <c r="C322" t="s">
        <v>134</v>
      </c>
      <c r="D322">
        <v>43094</v>
      </c>
      <c r="E322">
        <v>43122</v>
      </c>
      <c r="F322">
        <v>43114</v>
      </c>
      <c r="G322" t="s">
        <v>645</v>
      </c>
      <c r="H322">
        <v>132.6</v>
      </c>
      <c r="I322" t="s">
        <v>347</v>
      </c>
      <c r="J322" t="str">
        <f t="shared" si="4"/>
        <v>Dec</v>
      </c>
    </row>
    <row r="323" spans="2:10" hidden="1" x14ac:dyDescent="0.25">
      <c r="B323">
        <v>10863</v>
      </c>
      <c r="C323" t="s">
        <v>134</v>
      </c>
      <c r="D323">
        <v>43133</v>
      </c>
      <c r="E323">
        <v>43161</v>
      </c>
      <c r="F323">
        <v>43148</v>
      </c>
      <c r="G323" t="s">
        <v>646</v>
      </c>
      <c r="H323">
        <v>151.30000000000001</v>
      </c>
      <c r="I323" t="s">
        <v>347</v>
      </c>
      <c r="J323" t="str">
        <f t="shared" si="4"/>
        <v>Feb</v>
      </c>
    </row>
    <row r="324" spans="2:10" hidden="1" x14ac:dyDescent="0.25">
      <c r="B324">
        <v>10901</v>
      </c>
      <c r="C324" t="s">
        <v>134</v>
      </c>
      <c r="D324">
        <v>43154</v>
      </c>
      <c r="E324">
        <v>43182</v>
      </c>
      <c r="F324">
        <v>43157</v>
      </c>
      <c r="G324" t="s">
        <v>645</v>
      </c>
      <c r="H324">
        <v>310.45000000000005</v>
      </c>
      <c r="I324" t="s">
        <v>347</v>
      </c>
      <c r="J324" t="str">
        <f t="shared" si="4"/>
        <v>Feb</v>
      </c>
    </row>
    <row r="325" spans="2:10" hidden="1" x14ac:dyDescent="0.25">
      <c r="B325">
        <v>10957</v>
      </c>
      <c r="C325" t="s">
        <v>134</v>
      </c>
      <c r="D325">
        <v>43177</v>
      </c>
      <c r="E325">
        <v>43205</v>
      </c>
      <c r="F325">
        <v>43186</v>
      </c>
      <c r="G325" t="s">
        <v>647</v>
      </c>
      <c r="H325">
        <v>526.79999999999995</v>
      </c>
      <c r="I325" t="s">
        <v>347</v>
      </c>
      <c r="J325" t="str">
        <f t="shared" si="4"/>
        <v>Mar</v>
      </c>
    </row>
    <row r="326" spans="2:10" hidden="1" x14ac:dyDescent="0.25">
      <c r="B326">
        <v>10960</v>
      </c>
      <c r="C326" t="s">
        <v>134</v>
      </c>
      <c r="D326">
        <v>43178</v>
      </c>
      <c r="E326">
        <v>43192</v>
      </c>
      <c r="F326">
        <v>43198</v>
      </c>
      <c r="G326" t="s">
        <v>645</v>
      </c>
      <c r="H326">
        <v>10.4</v>
      </c>
      <c r="I326" t="s">
        <v>347</v>
      </c>
      <c r="J326" t="str">
        <f t="shared" si="4"/>
        <v>Mar</v>
      </c>
    </row>
    <row r="327" spans="2:10" hidden="1" x14ac:dyDescent="0.25">
      <c r="B327">
        <v>10976</v>
      </c>
      <c r="C327" t="s">
        <v>134</v>
      </c>
      <c r="D327">
        <v>43184</v>
      </c>
      <c r="E327">
        <v>43226</v>
      </c>
      <c r="F327">
        <v>43193</v>
      </c>
      <c r="G327" t="s">
        <v>645</v>
      </c>
      <c r="H327">
        <v>189.85</v>
      </c>
      <c r="I327" t="s">
        <v>347</v>
      </c>
      <c r="J327" t="str">
        <f t="shared" si="4"/>
        <v>Mar</v>
      </c>
    </row>
    <row r="328" spans="2:10" hidden="1" x14ac:dyDescent="0.25">
      <c r="B328">
        <v>11055</v>
      </c>
      <c r="C328" t="s">
        <v>134</v>
      </c>
      <c r="D328">
        <v>43218</v>
      </c>
      <c r="E328">
        <v>43246</v>
      </c>
      <c r="F328">
        <v>43225</v>
      </c>
      <c r="G328" t="s">
        <v>646</v>
      </c>
      <c r="H328">
        <v>604.6</v>
      </c>
      <c r="I328" t="s">
        <v>347</v>
      </c>
      <c r="J328" t="str">
        <f t="shared" si="4"/>
        <v>Apr</v>
      </c>
    </row>
    <row r="329" spans="2:10" hidden="1" x14ac:dyDescent="0.25">
      <c r="B329">
        <v>10375</v>
      </c>
      <c r="C329" t="s">
        <v>137</v>
      </c>
      <c r="D329">
        <v>42710</v>
      </c>
      <c r="E329">
        <v>42738</v>
      </c>
      <c r="F329">
        <v>42713</v>
      </c>
      <c r="G329" t="s">
        <v>646</v>
      </c>
      <c r="H329">
        <v>100.60000000000001</v>
      </c>
      <c r="I329" t="s">
        <v>348</v>
      </c>
      <c r="J329" t="str">
        <f t="shared" si="4"/>
        <v>Dec</v>
      </c>
    </row>
    <row r="330" spans="2:10" hidden="1" x14ac:dyDescent="0.25">
      <c r="B330">
        <v>10394</v>
      </c>
      <c r="C330" t="s">
        <v>137</v>
      </c>
      <c r="D330">
        <v>42729</v>
      </c>
      <c r="E330">
        <v>42757</v>
      </c>
      <c r="F330">
        <v>42738</v>
      </c>
      <c r="G330" t="s">
        <v>647</v>
      </c>
      <c r="H330">
        <v>151.69999999999999</v>
      </c>
      <c r="I330" t="s">
        <v>348</v>
      </c>
      <c r="J330" t="str">
        <f t="shared" si="4"/>
        <v>Dec</v>
      </c>
    </row>
    <row r="331" spans="2:10" hidden="1" x14ac:dyDescent="0.25">
      <c r="B331">
        <v>10415</v>
      </c>
      <c r="C331" t="s">
        <v>137</v>
      </c>
      <c r="D331">
        <v>42750</v>
      </c>
      <c r="E331">
        <v>42778</v>
      </c>
      <c r="F331">
        <v>42759</v>
      </c>
      <c r="G331" t="s">
        <v>645</v>
      </c>
      <c r="H331">
        <v>1</v>
      </c>
      <c r="I331" t="s">
        <v>348</v>
      </c>
      <c r="J331" t="str">
        <f t="shared" si="4"/>
        <v>Jan</v>
      </c>
    </row>
    <row r="332" spans="2:10" hidden="1" x14ac:dyDescent="0.25">
      <c r="B332">
        <v>10600</v>
      </c>
      <c r="C332" t="s">
        <v>137</v>
      </c>
      <c r="D332">
        <v>42932</v>
      </c>
      <c r="E332">
        <v>42960</v>
      </c>
      <c r="F332">
        <v>42937</v>
      </c>
      <c r="G332" t="s">
        <v>645</v>
      </c>
      <c r="H332">
        <v>225.65</v>
      </c>
      <c r="I332" t="s">
        <v>348</v>
      </c>
      <c r="J332" t="str">
        <f t="shared" si="4"/>
        <v>Jul</v>
      </c>
    </row>
    <row r="333" spans="2:10" hidden="1" x14ac:dyDescent="0.25">
      <c r="B333">
        <v>10660</v>
      </c>
      <c r="C333" t="s">
        <v>137</v>
      </c>
      <c r="D333">
        <v>42986</v>
      </c>
      <c r="E333">
        <v>43014</v>
      </c>
      <c r="F333">
        <v>43023</v>
      </c>
      <c r="G333" t="s">
        <v>645</v>
      </c>
      <c r="H333">
        <v>556.45000000000005</v>
      </c>
      <c r="I333" t="s">
        <v>348</v>
      </c>
      <c r="J333" t="str">
        <f t="shared" si="4"/>
        <v>Sep</v>
      </c>
    </row>
    <row r="334" spans="2:10" hidden="1" x14ac:dyDescent="0.25">
      <c r="B334">
        <v>10298</v>
      </c>
      <c r="C334" t="s">
        <v>140</v>
      </c>
      <c r="D334">
        <v>42618</v>
      </c>
      <c r="E334">
        <v>42646</v>
      </c>
      <c r="F334">
        <v>42624</v>
      </c>
      <c r="G334" t="s">
        <v>646</v>
      </c>
      <c r="H334">
        <v>841.1</v>
      </c>
      <c r="I334" t="s">
        <v>349</v>
      </c>
      <c r="J334" t="str">
        <f t="shared" si="4"/>
        <v>Sep</v>
      </c>
    </row>
    <row r="335" spans="2:10" hidden="1" x14ac:dyDescent="0.25">
      <c r="B335">
        <v>10309</v>
      </c>
      <c r="C335" t="s">
        <v>140</v>
      </c>
      <c r="D335">
        <v>42632</v>
      </c>
      <c r="E335">
        <v>42660</v>
      </c>
      <c r="F335">
        <v>42666</v>
      </c>
      <c r="G335" t="s">
        <v>645</v>
      </c>
      <c r="H335">
        <v>236.5</v>
      </c>
      <c r="I335" t="s">
        <v>349</v>
      </c>
      <c r="J335" t="str">
        <f t="shared" si="4"/>
        <v>Sep</v>
      </c>
    </row>
    <row r="336" spans="2:10" hidden="1" x14ac:dyDescent="0.25">
      <c r="B336">
        <v>10335</v>
      </c>
      <c r="C336" t="s">
        <v>140</v>
      </c>
      <c r="D336">
        <v>42665</v>
      </c>
      <c r="E336">
        <v>42693</v>
      </c>
      <c r="F336">
        <v>42667</v>
      </c>
      <c r="G336" t="s">
        <v>646</v>
      </c>
      <c r="H336">
        <v>210.55</v>
      </c>
      <c r="I336" t="s">
        <v>349</v>
      </c>
      <c r="J336" t="str">
        <f t="shared" si="4"/>
        <v>Oct</v>
      </c>
    </row>
    <row r="337" spans="2:10" hidden="1" x14ac:dyDescent="0.25">
      <c r="B337">
        <v>10373</v>
      </c>
      <c r="C337" t="s">
        <v>140</v>
      </c>
      <c r="D337">
        <v>42709</v>
      </c>
      <c r="E337">
        <v>42737</v>
      </c>
      <c r="F337">
        <v>42715</v>
      </c>
      <c r="G337" t="s">
        <v>647</v>
      </c>
      <c r="H337">
        <v>620.6</v>
      </c>
      <c r="I337" t="s">
        <v>349</v>
      </c>
      <c r="J337" t="str">
        <f t="shared" ref="J337:J400" si="5">TEXT(D337,"mmm")</f>
        <v>Dec</v>
      </c>
    </row>
    <row r="338" spans="2:10" hidden="1" x14ac:dyDescent="0.25">
      <c r="B338">
        <v>10380</v>
      </c>
      <c r="C338" t="s">
        <v>140</v>
      </c>
      <c r="D338">
        <v>42716</v>
      </c>
      <c r="E338">
        <v>42744</v>
      </c>
      <c r="F338">
        <v>42751</v>
      </c>
      <c r="G338" t="s">
        <v>647</v>
      </c>
      <c r="H338">
        <v>175.15</v>
      </c>
      <c r="I338" t="s">
        <v>349</v>
      </c>
      <c r="J338" t="str">
        <f t="shared" si="5"/>
        <v>Dec</v>
      </c>
    </row>
    <row r="339" spans="2:10" hidden="1" x14ac:dyDescent="0.25">
      <c r="B339">
        <v>10429</v>
      </c>
      <c r="C339" t="s">
        <v>140</v>
      </c>
      <c r="D339">
        <v>42764</v>
      </c>
      <c r="E339">
        <v>42806</v>
      </c>
      <c r="F339">
        <v>42773</v>
      </c>
      <c r="G339" t="s">
        <v>646</v>
      </c>
      <c r="H339">
        <v>283.15000000000003</v>
      </c>
      <c r="I339" t="s">
        <v>349</v>
      </c>
      <c r="J339" t="str">
        <f t="shared" si="5"/>
        <v>Jan</v>
      </c>
    </row>
    <row r="340" spans="2:10" hidden="1" x14ac:dyDescent="0.25">
      <c r="B340">
        <v>10503</v>
      </c>
      <c r="C340" t="s">
        <v>140</v>
      </c>
      <c r="D340">
        <v>42836</v>
      </c>
      <c r="E340">
        <v>42864</v>
      </c>
      <c r="F340">
        <v>42841</v>
      </c>
      <c r="G340" t="s">
        <v>646</v>
      </c>
      <c r="H340">
        <v>83.699999999999989</v>
      </c>
      <c r="I340" t="s">
        <v>349</v>
      </c>
      <c r="J340" t="str">
        <f t="shared" si="5"/>
        <v>Apr</v>
      </c>
    </row>
    <row r="341" spans="2:10" hidden="1" x14ac:dyDescent="0.25">
      <c r="B341">
        <v>10516</v>
      </c>
      <c r="C341" t="s">
        <v>140</v>
      </c>
      <c r="D341">
        <v>42849</v>
      </c>
      <c r="E341">
        <v>42877</v>
      </c>
      <c r="F341">
        <v>42856</v>
      </c>
      <c r="G341" t="s">
        <v>647</v>
      </c>
      <c r="H341">
        <v>313.89999999999998</v>
      </c>
      <c r="I341" t="s">
        <v>349</v>
      </c>
      <c r="J341" t="str">
        <f t="shared" si="5"/>
        <v>Apr</v>
      </c>
    </row>
    <row r="342" spans="2:10" hidden="1" x14ac:dyDescent="0.25">
      <c r="B342">
        <v>10567</v>
      </c>
      <c r="C342" t="s">
        <v>140</v>
      </c>
      <c r="D342">
        <v>42898</v>
      </c>
      <c r="E342">
        <v>42926</v>
      </c>
      <c r="F342">
        <v>42903</v>
      </c>
      <c r="G342" t="s">
        <v>645</v>
      </c>
      <c r="H342">
        <v>169.85</v>
      </c>
      <c r="I342" t="s">
        <v>349</v>
      </c>
      <c r="J342" t="str">
        <f t="shared" si="5"/>
        <v>Jun</v>
      </c>
    </row>
    <row r="343" spans="2:10" hidden="1" x14ac:dyDescent="0.25">
      <c r="B343">
        <v>10646</v>
      </c>
      <c r="C343" t="s">
        <v>140</v>
      </c>
      <c r="D343">
        <v>42974</v>
      </c>
      <c r="E343">
        <v>43016</v>
      </c>
      <c r="F343">
        <v>42981</v>
      </c>
      <c r="G343" t="s">
        <v>647</v>
      </c>
      <c r="H343">
        <v>711.65000000000009</v>
      </c>
      <c r="I343" t="s">
        <v>349</v>
      </c>
      <c r="J343" t="str">
        <f t="shared" si="5"/>
        <v>Aug</v>
      </c>
    </row>
    <row r="344" spans="2:10" hidden="1" x14ac:dyDescent="0.25">
      <c r="B344">
        <v>10661</v>
      </c>
      <c r="C344" t="s">
        <v>140</v>
      </c>
      <c r="D344">
        <v>42987</v>
      </c>
      <c r="E344">
        <v>43015</v>
      </c>
      <c r="F344">
        <v>42993</v>
      </c>
      <c r="G344" t="s">
        <v>647</v>
      </c>
      <c r="H344">
        <v>87.75</v>
      </c>
      <c r="I344" t="s">
        <v>349</v>
      </c>
      <c r="J344" t="str">
        <f t="shared" si="5"/>
        <v>Sep</v>
      </c>
    </row>
    <row r="345" spans="2:10" hidden="1" x14ac:dyDescent="0.25">
      <c r="B345">
        <v>10687</v>
      </c>
      <c r="C345" t="s">
        <v>140</v>
      </c>
      <c r="D345">
        <v>43008</v>
      </c>
      <c r="E345">
        <v>43036</v>
      </c>
      <c r="F345">
        <v>43038</v>
      </c>
      <c r="G345" t="s">
        <v>646</v>
      </c>
      <c r="H345">
        <v>1482.15</v>
      </c>
      <c r="I345" t="s">
        <v>349</v>
      </c>
      <c r="J345" t="str">
        <f t="shared" si="5"/>
        <v>Sep</v>
      </c>
    </row>
    <row r="346" spans="2:10" hidden="1" x14ac:dyDescent="0.25">
      <c r="B346">
        <v>10701</v>
      </c>
      <c r="C346" t="s">
        <v>140</v>
      </c>
      <c r="D346">
        <v>43021</v>
      </c>
      <c r="E346">
        <v>43035</v>
      </c>
      <c r="F346">
        <v>43023</v>
      </c>
      <c r="G346" t="s">
        <v>647</v>
      </c>
      <c r="H346">
        <v>1101.55</v>
      </c>
      <c r="I346" t="s">
        <v>349</v>
      </c>
      <c r="J346" t="str">
        <f t="shared" si="5"/>
        <v>Oct</v>
      </c>
    </row>
    <row r="347" spans="2:10" hidden="1" x14ac:dyDescent="0.25">
      <c r="B347">
        <v>10712</v>
      </c>
      <c r="C347" t="s">
        <v>140</v>
      </c>
      <c r="D347">
        <v>43029</v>
      </c>
      <c r="E347">
        <v>43057</v>
      </c>
      <c r="F347">
        <v>43039</v>
      </c>
      <c r="G347" t="s">
        <v>645</v>
      </c>
      <c r="H347">
        <v>449.65000000000003</v>
      </c>
      <c r="I347" t="s">
        <v>349</v>
      </c>
      <c r="J347" t="str">
        <f t="shared" si="5"/>
        <v>Oct</v>
      </c>
    </row>
    <row r="348" spans="2:10" hidden="1" x14ac:dyDescent="0.25">
      <c r="B348">
        <v>10736</v>
      </c>
      <c r="C348" t="s">
        <v>140</v>
      </c>
      <c r="D348">
        <v>43050</v>
      </c>
      <c r="E348">
        <v>43078</v>
      </c>
      <c r="F348">
        <v>43060</v>
      </c>
      <c r="G348" t="s">
        <v>646</v>
      </c>
      <c r="H348">
        <v>220.5</v>
      </c>
      <c r="I348" t="s">
        <v>349</v>
      </c>
      <c r="J348" t="str">
        <f t="shared" si="5"/>
        <v>Nov</v>
      </c>
    </row>
    <row r="349" spans="2:10" hidden="1" x14ac:dyDescent="0.25">
      <c r="B349">
        <v>10897</v>
      </c>
      <c r="C349" t="s">
        <v>140</v>
      </c>
      <c r="D349">
        <v>43150</v>
      </c>
      <c r="E349">
        <v>43178</v>
      </c>
      <c r="F349">
        <v>43156</v>
      </c>
      <c r="G349" t="s">
        <v>646</v>
      </c>
      <c r="H349">
        <v>3017.7</v>
      </c>
      <c r="I349" t="s">
        <v>349</v>
      </c>
      <c r="J349" t="str">
        <f t="shared" si="5"/>
        <v>Feb</v>
      </c>
    </row>
    <row r="350" spans="2:10" hidden="1" x14ac:dyDescent="0.25">
      <c r="B350">
        <v>10912</v>
      </c>
      <c r="C350" t="s">
        <v>140</v>
      </c>
      <c r="D350">
        <v>43157</v>
      </c>
      <c r="E350">
        <v>43185</v>
      </c>
      <c r="F350">
        <v>43177</v>
      </c>
      <c r="G350" t="s">
        <v>646</v>
      </c>
      <c r="H350">
        <v>2904.5499999999997</v>
      </c>
      <c r="I350" t="s">
        <v>349</v>
      </c>
      <c r="J350" t="str">
        <f t="shared" si="5"/>
        <v>Feb</v>
      </c>
    </row>
    <row r="351" spans="2:10" hidden="1" x14ac:dyDescent="0.25">
      <c r="B351">
        <v>10985</v>
      </c>
      <c r="C351" t="s">
        <v>140</v>
      </c>
      <c r="D351">
        <v>43189</v>
      </c>
      <c r="E351">
        <v>43217</v>
      </c>
      <c r="F351">
        <v>43192</v>
      </c>
      <c r="G351" t="s">
        <v>645</v>
      </c>
      <c r="H351">
        <v>457.55</v>
      </c>
      <c r="I351" t="s">
        <v>349</v>
      </c>
      <c r="J351" t="str">
        <f t="shared" si="5"/>
        <v>Mar</v>
      </c>
    </row>
    <row r="352" spans="2:10" hidden="1" x14ac:dyDescent="0.25">
      <c r="B352">
        <v>11063</v>
      </c>
      <c r="C352" t="s">
        <v>140</v>
      </c>
      <c r="D352">
        <v>43220</v>
      </c>
      <c r="E352">
        <v>43248</v>
      </c>
      <c r="F352">
        <v>43226</v>
      </c>
      <c r="G352" t="s">
        <v>646</v>
      </c>
      <c r="H352">
        <v>408.65000000000003</v>
      </c>
      <c r="I352" t="s">
        <v>349</v>
      </c>
      <c r="J352" t="str">
        <f t="shared" si="5"/>
        <v>Apr</v>
      </c>
    </row>
    <row r="353" spans="2:10" hidden="1" x14ac:dyDescent="0.25">
      <c r="B353">
        <v>10315</v>
      </c>
      <c r="C353" t="s">
        <v>143</v>
      </c>
      <c r="D353">
        <v>42639</v>
      </c>
      <c r="E353">
        <v>42667</v>
      </c>
      <c r="F353">
        <v>42646</v>
      </c>
      <c r="G353" t="s">
        <v>646</v>
      </c>
      <c r="H353">
        <v>208.79999999999998</v>
      </c>
      <c r="I353" t="s">
        <v>14</v>
      </c>
      <c r="J353" t="str">
        <f t="shared" si="5"/>
        <v>Sep</v>
      </c>
    </row>
    <row r="354" spans="2:10" hidden="1" x14ac:dyDescent="0.25">
      <c r="B354">
        <v>10318</v>
      </c>
      <c r="C354" t="s">
        <v>143</v>
      </c>
      <c r="D354">
        <v>42644</v>
      </c>
      <c r="E354">
        <v>42672</v>
      </c>
      <c r="F354">
        <v>42647</v>
      </c>
      <c r="G354" t="s">
        <v>646</v>
      </c>
      <c r="H354">
        <v>23.650000000000002</v>
      </c>
      <c r="I354" t="s">
        <v>14</v>
      </c>
      <c r="J354" t="str">
        <f t="shared" si="5"/>
        <v>Oct</v>
      </c>
    </row>
    <row r="355" spans="2:10" hidden="1" x14ac:dyDescent="0.25">
      <c r="B355">
        <v>10321</v>
      </c>
      <c r="C355" t="s">
        <v>143</v>
      </c>
      <c r="D355">
        <v>42646</v>
      </c>
      <c r="E355">
        <v>42674</v>
      </c>
      <c r="F355">
        <v>42654</v>
      </c>
      <c r="G355" t="s">
        <v>646</v>
      </c>
      <c r="H355">
        <v>17.150000000000002</v>
      </c>
      <c r="I355" t="s">
        <v>14</v>
      </c>
      <c r="J355" t="str">
        <f t="shared" si="5"/>
        <v>Oct</v>
      </c>
    </row>
    <row r="356" spans="2:10" hidden="1" x14ac:dyDescent="0.25">
      <c r="B356">
        <v>10473</v>
      </c>
      <c r="C356" t="s">
        <v>143</v>
      </c>
      <c r="D356">
        <v>42807</v>
      </c>
      <c r="E356">
        <v>42821</v>
      </c>
      <c r="F356">
        <v>42815</v>
      </c>
      <c r="G356" t="s">
        <v>647</v>
      </c>
      <c r="H356">
        <v>81.850000000000009</v>
      </c>
      <c r="I356" t="s">
        <v>14</v>
      </c>
      <c r="J356" t="str">
        <f t="shared" si="5"/>
        <v>Mar</v>
      </c>
    </row>
    <row r="357" spans="2:10" hidden="1" x14ac:dyDescent="0.25">
      <c r="B357">
        <v>10621</v>
      </c>
      <c r="C357" t="s">
        <v>143</v>
      </c>
      <c r="D357">
        <v>42952</v>
      </c>
      <c r="E357">
        <v>42980</v>
      </c>
      <c r="F357">
        <v>42958</v>
      </c>
      <c r="G357" t="s">
        <v>646</v>
      </c>
      <c r="H357">
        <v>118.65</v>
      </c>
      <c r="I357" t="s">
        <v>14</v>
      </c>
      <c r="J357" t="str">
        <f t="shared" si="5"/>
        <v>Aug</v>
      </c>
    </row>
    <row r="358" spans="2:10" hidden="1" x14ac:dyDescent="0.25">
      <c r="B358">
        <v>10674</v>
      </c>
      <c r="C358" t="s">
        <v>143</v>
      </c>
      <c r="D358">
        <v>42996</v>
      </c>
      <c r="E358">
        <v>43024</v>
      </c>
      <c r="F358">
        <v>43008</v>
      </c>
      <c r="G358" t="s">
        <v>646</v>
      </c>
      <c r="H358">
        <v>4.5</v>
      </c>
      <c r="I358" t="s">
        <v>14</v>
      </c>
      <c r="J358" t="str">
        <f t="shared" si="5"/>
        <v>Sep</v>
      </c>
    </row>
    <row r="359" spans="2:10" hidden="1" x14ac:dyDescent="0.25">
      <c r="B359">
        <v>10749</v>
      </c>
      <c r="C359" t="s">
        <v>143</v>
      </c>
      <c r="D359">
        <v>43059</v>
      </c>
      <c r="E359">
        <v>43087</v>
      </c>
      <c r="F359">
        <v>43088</v>
      </c>
      <c r="G359" t="s">
        <v>646</v>
      </c>
      <c r="H359">
        <v>307.64999999999998</v>
      </c>
      <c r="I359" t="s">
        <v>14</v>
      </c>
      <c r="J359" t="str">
        <f t="shared" si="5"/>
        <v>Nov</v>
      </c>
    </row>
    <row r="360" spans="2:10" hidden="1" x14ac:dyDescent="0.25">
      <c r="B360">
        <v>10798</v>
      </c>
      <c r="C360" t="s">
        <v>143</v>
      </c>
      <c r="D360">
        <v>43095</v>
      </c>
      <c r="E360">
        <v>43123</v>
      </c>
      <c r="F360">
        <v>43105</v>
      </c>
      <c r="G360" t="s">
        <v>645</v>
      </c>
      <c r="H360">
        <v>11.65</v>
      </c>
      <c r="I360" t="s">
        <v>14</v>
      </c>
      <c r="J360" t="str">
        <f t="shared" si="5"/>
        <v>Dec</v>
      </c>
    </row>
    <row r="361" spans="2:10" hidden="1" x14ac:dyDescent="0.25">
      <c r="B361">
        <v>10829</v>
      </c>
      <c r="C361" t="s">
        <v>143</v>
      </c>
      <c r="D361">
        <v>43113</v>
      </c>
      <c r="E361">
        <v>43141</v>
      </c>
      <c r="F361">
        <v>43123</v>
      </c>
      <c r="G361" t="s">
        <v>645</v>
      </c>
      <c r="H361">
        <v>773.6</v>
      </c>
      <c r="I361" t="s">
        <v>14</v>
      </c>
      <c r="J361" t="str">
        <f t="shared" si="5"/>
        <v>Jan</v>
      </c>
    </row>
    <row r="362" spans="2:10" hidden="1" x14ac:dyDescent="0.25">
      <c r="B362">
        <v>10933</v>
      </c>
      <c r="C362" t="s">
        <v>143</v>
      </c>
      <c r="D362">
        <v>43165</v>
      </c>
      <c r="E362">
        <v>43193</v>
      </c>
      <c r="F362">
        <v>43175</v>
      </c>
      <c r="G362" t="s">
        <v>647</v>
      </c>
      <c r="H362">
        <v>270.75</v>
      </c>
      <c r="I362" t="s">
        <v>14</v>
      </c>
      <c r="J362" t="str">
        <f t="shared" si="5"/>
        <v>Mar</v>
      </c>
    </row>
    <row r="363" spans="2:10" hidden="1" x14ac:dyDescent="0.25">
      <c r="B363">
        <v>10323</v>
      </c>
      <c r="C363" t="s">
        <v>145</v>
      </c>
      <c r="D363">
        <v>42650</v>
      </c>
      <c r="E363">
        <v>42678</v>
      </c>
      <c r="F363">
        <v>42657</v>
      </c>
      <c r="G363" t="s">
        <v>645</v>
      </c>
      <c r="H363">
        <v>24.4</v>
      </c>
      <c r="I363" t="s">
        <v>350</v>
      </c>
      <c r="J363" t="str">
        <f t="shared" si="5"/>
        <v>Oct</v>
      </c>
    </row>
    <row r="364" spans="2:10" hidden="1" x14ac:dyDescent="0.25">
      <c r="B364">
        <v>10325</v>
      </c>
      <c r="C364" t="s">
        <v>145</v>
      </c>
      <c r="D364">
        <v>42652</v>
      </c>
      <c r="E364">
        <v>42666</v>
      </c>
      <c r="F364">
        <v>42657</v>
      </c>
      <c r="G364" t="s">
        <v>647</v>
      </c>
      <c r="H364">
        <v>324.3</v>
      </c>
      <c r="I364" t="s">
        <v>350</v>
      </c>
      <c r="J364" t="str">
        <f t="shared" si="5"/>
        <v>Oct</v>
      </c>
    </row>
    <row r="365" spans="2:10" hidden="1" x14ac:dyDescent="0.25">
      <c r="B365">
        <v>10456</v>
      </c>
      <c r="C365" t="s">
        <v>145</v>
      </c>
      <c r="D365">
        <v>42791</v>
      </c>
      <c r="E365">
        <v>42833</v>
      </c>
      <c r="F365">
        <v>42794</v>
      </c>
      <c r="G365" t="s">
        <v>646</v>
      </c>
      <c r="H365">
        <v>40.599999999999994</v>
      </c>
      <c r="I365" t="s">
        <v>350</v>
      </c>
      <c r="J365" t="str">
        <f t="shared" si="5"/>
        <v>Feb</v>
      </c>
    </row>
    <row r="366" spans="2:10" hidden="1" x14ac:dyDescent="0.25">
      <c r="B366">
        <v>10457</v>
      </c>
      <c r="C366" t="s">
        <v>145</v>
      </c>
      <c r="D366">
        <v>42791</v>
      </c>
      <c r="E366">
        <v>42819</v>
      </c>
      <c r="F366">
        <v>42797</v>
      </c>
      <c r="G366" t="s">
        <v>645</v>
      </c>
      <c r="H366">
        <v>57.85</v>
      </c>
      <c r="I366" t="s">
        <v>350</v>
      </c>
      <c r="J366" t="str">
        <f t="shared" si="5"/>
        <v>Feb</v>
      </c>
    </row>
    <row r="367" spans="2:10" hidden="1" x14ac:dyDescent="0.25">
      <c r="B367">
        <v>10468</v>
      </c>
      <c r="C367" t="s">
        <v>145</v>
      </c>
      <c r="D367">
        <v>42801</v>
      </c>
      <c r="E367">
        <v>42829</v>
      </c>
      <c r="F367">
        <v>42806</v>
      </c>
      <c r="G367" t="s">
        <v>647</v>
      </c>
      <c r="H367">
        <v>220.6</v>
      </c>
      <c r="I367" t="s">
        <v>350</v>
      </c>
      <c r="J367" t="str">
        <f t="shared" si="5"/>
        <v>Mar</v>
      </c>
    </row>
    <row r="368" spans="2:10" hidden="1" x14ac:dyDescent="0.25">
      <c r="B368">
        <v>10506</v>
      </c>
      <c r="C368" t="s">
        <v>145</v>
      </c>
      <c r="D368">
        <v>42840</v>
      </c>
      <c r="E368">
        <v>42868</v>
      </c>
      <c r="F368">
        <v>42857</v>
      </c>
      <c r="G368" t="s">
        <v>646</v>
      </c>
      <c r="H368">
        <v>105.95</v>
      </c>
      <c r="I368" t="s">
        <v>350</v>
      </c>
      <c r="J368" t="str">
        <f t="shared" si="5"/>
        <v>Apr</v>
      </c>
    </row>
    <row r="369" spans="2:10" hidden="1" x14ac:dyDescent="0.25">
      <c r="B369">
        <v>10542</v>
      </c>
      <c r="C369" t="s">
        <v>145</v>
      </c>
      <c r="D369">
        <v>42875</v>
      </c>
      <c r="E369">
        <v>42903</v>
      </c>
      <c r="F369">
        <v>42881</v>
      </c>
      <c r="G369" t="s">
        <v>647</v>
      </c>
      <c r="H369">
        <v>54.75</v>
      </c>
      <c r="I369" t="s">
        <v>350</v>
      </c>
      <c r="J369" t="str">
        <f t="shared" si="5"/>
        <v>May</v>
      </c>
    </row>
    <row r="370" spans="2:10" hidden="1" x14ac:dyDescent="0.25">
      <c r="B370">
        <v>10630</v>
      </c>
      <c r="C370" t="s">
        <v>145</v>
      </c>
      <c r="D370">
        <v>42960</v>
      </c>
      <c r="E370">
        <v>42988</v>
      </c>
      <c r="F370">
        <v>42966</v>
      </c>
      <c r="G370" t="s">
        <v>646</v>
      </c>
      <c r="H370">
        <v>161.75</v>
      </c>
      <c r="I370" t="s">
        <v>350</v>
      </c>
      <c r="J370" t="str">
        <f t="shared" si="5"/>
        <v>Aug</v>
      </c>
    </row>
    <row r="371" spans="2:10" hidden="1" x14ac:dyDescent="0.25">
      <c r="B371">
        <v>10718</v>
      </c>
      <c r="C371" t="s">
        <v>145</v>
      </c>
      <c r="D371">
        <v>43035</v>
      </c>
      <c r="E371">
        <v>43063</v>
      </c>
      <c r="F371">
        <v>43037</v>
      </c>
      <c r="G371" t="s">
        <v>647</v>
      </c>
      <c r="H371">
        <v>854.4</v>
      </c>
      <c r="I371" t="s">
        <v>350</v>
      </c>
      <c r="J371" t="str">
        <f t="shared" si="5"/>
        <v>Oct</v>
      </c>
    </row>
    <row r="372" spans="2:10" hidden="1" x14ac:dyDescent="0.25">
      <c r="B372">
        <v>10799</v>
      </c>
      <c r="C372" t="s">
        <v>145</v>
      </c>
      <c r="D372">
        <v>43095</v>
      </c>
      <c r="E372">
        <v>43137</v>
      </c>
      <c r="F372">
        <v>43105</v>
      </c>
      <c r="G372" t="s">
        <v>647</v>
      </c>
      <c r="H372">
        <v>153.80000000000001</v>
      </c>
      <c r="I372" t="s">
        <v>350</v>
      </c>
      <c r="J372" t="str">
        <f t="shared" si="5"/>
        <v>Dec</v>
      </c>
    </row>
    <row r="373" spans="2:10" hidden="1" x14ac:dyDescent="0.25">
      <c r="B373">
        <v>10817</v>
      </c>
      <c r="C373" t="s">
        <v>145</v>
      </c>
      <c r="D373">
        <v>43106</v>
      </c>
      <c r="E373">
        <v>43120</v>
      </c>
      <c r="F373">
        <v>43113</v>
      </c>
      <c r="G373" t="s">
        <v>646</v>
      </c>
      <c r="H373">
        <v>1530.35</v>
      </c>
      <c r="I373" t="s">
        <v>350</v>
      </c>
      <c r="J373" t="str">
        <f t="shared" si="5"/>
        <v>Jan</v>
      </c>
    </row>
    <row r="374" spans="2:10" hidden="1" x14ac:dyDescent="0.25">
      <c r="B374">
        <v>10849</v>
      </c>
      <c r="C374" t="s">
        <v>145</v>
      </c>
      <c r="D374">
        <v>43123</v>
      </c>
      <c r="E374">
        <v>43151</v>
      </c>
      <c r="F374">
        <v>43130</v>
      </c>
      <c r="G374" t="s">
        <v>646</v>
      </c>
      <c r="H374">
        <v>2.8000000000000003</v>
      </c>
      <c r="I374" t="s">
        <v>350</v>
      </c>
      <c r="J374" t="str">
        <f t="shared" si="5"/>
        <v>Jan</v>
      </c>
    </row>
    <row r="375" spans="2:10" hidden="1" x14ac:dyDescent="0.25">
      <c r="B375">
        <v>10893</v>
      </c>
      <c r="C375" t="s">
        <v>145</v>
      </c>
      <c r="D375">
        <v>43149</v>
      </c>
      <c r="E375">
        <v>43177</v>
      </c>
      <c r="F375">
        <v>43151</v>
      </c>
      <c r="G375" t="s">
        <v>646</v>
      </c>
      <c r="H375">
        <v>388.9</v>
      </c>
      <c r="I375" t="s">
        <v>350</v>
      </c>
      <c r="J375" t="str">
        <f t="shared" si="5"/>
        <v>Feb</v>
      </c>
    </row>
    <row r="376" spans="2:10" hidden="1" x14ac:dyDescent="0.25">
      <c r="B376">
        <v>11028</v>
      </c>
      <c r="C376" t="s">
        <v>145</v>
      </c>
      <c r="D376">
        <v>43206</v>
      </c>
      <c r="E376">
        <v>43234</v>
      </c>
      <c r="F376">
        <v>43212</v>
      </c>
      <c r="G376" t="s">
        <v>645</v>
      </c>
      <c r="H376">
        <v>147.94999999999999</v>
      </c>
      <c r="I376" t="s">
        <v>350</v>
      </c>
      <c r="J376" t="str">
        <f t="shared" si="5"/>
        <v>Apr</v>
      </c>
    </row>
    <row r="377" spans="2:10" hidden="1" x14ac:dyDescent="0.25">
      <c r="B377">
        <v>10858</v>
      </c>
      <c r="C377" t="s">
        <v>147</v>
      </c>
      <c r="D377">
        <v>43129</v>
      </c>
      <c r="E377">
        <v>43157</v>
      </c>
      <c r="F377">
        <v>43134</v>
      </c>
      <c r="G377" t="s">
        <v>645</v>
      </c>
      <c r="H377">
        <v>262.55</v>
      </c>
      <c r="I377" t="s">
        <v>351</v>
      </c>
      <c r="J377" t="str">
        <f t="shared" si="5"/>
        <v>Jan</v>
      </c>
    </row>
    <row r="378" spans="2:10" hidden="1" x14ac:dyDescent="0.25">
      <c r="B378">
        <v>10927</v>
      </c>
      <c r="C378" t="s">
        <v>147</v>
      </c>
      <c r="D378">
        <v>43164</v>
      </c>
      <c r="E378">
        <v>43192</v>
      </c>
      <c r="F378">
        <v>43198</v>
      </c>
      <c r="G378" t="s">
        <v>645</v>
      </c>
      <c r="H378">
        <v>98.949999999999989</v>
      </c>
      <c r="I378" t="s">
        <v>351</v>
      </c>
      <c r="J378" t="str">
        <f t="shared" si="5"/>
        <v>Mar</v>
      </c>
    </row>
    <row r="379" spans="2:10" hidden="1" x14ac:dyDescent="0.25">
      <c r="B379">
        <v>10972</v>
      </c>
      <c r="C379" t="s">
        <v>147</v>
      </c>
      <c r="D379">
        <v>43183</v>
      </c>
      <c r="E379">
        <v>43211</v>
      </c>
      <c r="F379">
        <v>43185</v>
      </c>
      <c r="G379" t="s">
        <v>646</v>
      </c>
      <c r="H379">
        <v>0.1</v>
      </c>
      <c r="I379" t="s">
        <v>351</v>
      </c>
      <c r="J379" t="str">
        <f t="shared" si="5"/>
        <v>Mar</v>
      </c>
    </row>
    <row r="380" spans="2:10" hidden="1" x14ac:dyDescent="0.25">
      <c r="B380">
        <v>10973</v>
      </c>
      <c r="C380" t="s">
        <v>147</v>
      </c>
      <c r="D380">
        <v>43183</v>
      </c>
      <c r="E380">
        <v>43211</v>
      </c>
      <c r="F380">
        <v>43186</v>
      </c>
      <c r="G380" t="s">
        <v>646</v>
      </c>
      <c r="H380">
        <v>75.849999999999994</v>
      </c>
      <c r="I380" t="s">
        <v>351</v>
      </c>
      <c r="J380" t="str">
        <f t="shared" si="5"/>
        <v>Mar</v>
      </c>
    </row>
    <row r="381" spans="2:10" hidden="1" x14ac:dyDescent="0.25">
      <c r="B381">
        <v>10350</v>
      </c>
      <c r="C381" t="s">
        <v>150</v>
      </c>
      <c r="D381">
        <v>42685</v>
      </c>
      <c r="E381">
        <v>42713</v>
      </c>
      <c r="F381">
        <v>42707</v>
      </c>
      <c r="G381" t="s">
        <v>646</v>
      </c>
      <c r="H381">
        <v>320.95</v>
      </c>
      <c r="I381" t="s">
        <v>352</v>
      </c>
      <c r="J381" t="str">
        <f t="shared" si="5"/>
        <v>Nov</v>
      </c>
    </row>
    <row r="382" spans="2:10" hidden="1" x14ac:dyDescent="0.25">
      <c r="B382">
        <v>10358</v>
      </c>
      <c r="C382" t="s">
        <v>150</v>
      </c>
      <c r="D382">
        <v>42694</v>
      </c>
      <c r="E382">
        <v>42722</v>
      </c>
      <c r="F382">
        <v>42701</v>
      </c>
      <c r="G382" t="s">
        <v>645</v>
      </c>
      <c r="H382">
        <v>98.2</v>
      </c>
      <c r="I382" t="s">
        <v>352</v>
      </c>
      <c r="J382" t="str">
        <f t="shared" si="5"/>
        <v>Nov</v>
      </c>
    </row>
    <row r="383" spans="2:10" hidden="1" x14ac:dyDescent="0.25">
      <c r="B383">
        <v>10371</v>
      </c>
      <c r="C383" t="s">
        <v>150</v>
      </c>
      <c r="D383">
        <v>42707</v>
      </c>
      <c r="E383">
        <v>42735</v>
      </c>
      <c r="F383">
        <v>42728</v>
      </c>
      <c r="G383" t="s">
        <v>645</v>
      </c>
      <c r="H383">
        <v>2.25</v>
      </c>
      <c r="I383" t="s">
        <v>352</v>
      </c>
      <c r="J383" t="str">
        <f t="shared" si="5"/>
        <v>Dec</v>
      </c>
    </row>
    <row r="384" spans="2:10" hidden="1" x14ac:dyDescent="0.25">
      <c r="B384">
        <v>10413</v>
      </c>
      <c r="C384" t="s">
        <v>150</v>
      </c>
      <c r="D384">
        <v>42749</v>
      </c>
      <c r="E384">
        <v>42777</v>
      </c>
      <c r="F384">
        <v>42751</v>
      </c>
      <c r="G384" t="s">
        <v>646</v>
      </c>
      <c r="H384">
        <v>478.29999999999995</v>
      </c>
      <c r="I384" t="s">
        <v>352</v>
      </c>
      <c r="J384" t="str">
        <f t="shared" si="5"/>
        <v>Jan</v>
      </c>
    </row>
    <row r="385" spans="2:10" hidden="1" x14ac:dyDescent="0.25">
      <c r="B385">
        <v>10425</v>
      </c>
      <c r="C385" t="s">
        <v>150</v>
      </c>
      <c r="D385">
        <v>42759</v>
      </c>
      <c r="E385">
        <v>42787</v>
      </c>
      <c r="F385">
        <v>42780</v>
      </c>
      <c r="G385" t="s">
        <v>646</v>
      </c>
      <c r="H385">
        <v>39.65</v>
      </c>
      <c r="I385" t="s">
        <v>352</v>
      </c>
      <c r="J385" t="str">
        <f t="shared" si="5"/>
        <v>Jan</v>
      </c>
    </row>
    <row r="386" spans="2:10" hidden="1" x14ac:dyDescent="0.25">
      <c r="B386">
        <v>10454</v>
      </c>
      <c r="C386" t="s">
        <v>150</v>
      </c>
      <c r="D386">
        <v>42787</v>
      </c>
      <c r="E386">
        <v>42815</v>
      </c>
      <c r="F386">
        <v>42791</v>
      </c>
      <c r="G386" t="s">
        <v>647</v>
      </c>
      <c r="H386">
        <v>13.700000000000001</v>
      </c>
      <c r="I386" t="s">
        <v>352</v>
      </c>
      <c r="J386" t="str">
        <f t="shared" si="5"/>
        <v>Feb</v>
      </c>
    </row>
    <row r="387" spans="2:10" hidden="1" x14ac:dyDescent="0.25">
      <c r="B387">
        <v>10493</v>
      </c>
      <c r="C387" t="s">
        <v>150</v>
      </c>
      <c r="D387">
        <v>42827</v>
      </c>
      <c r="E387">
        <v>42855</v>
      </c>
      <c r="F387">
        <v>42835</v>
      </c>
      <c r="G387" t="s">
        <v>647</v>
      </c>
      <c r="H387">
        <v>53.2</v>
      </c>
      <c r="I387" t="s">
        <v>352</v>
      </c>
      <c r="J387" t="str">
        <f t="shared" si="5"/>
        <v>Apr</v>
      </c>
    </row>
    <row r="388" spans="2:10" hidden="1" x14ac:dyDescent="0.25">
      <c r="B388">
        <v>10500</v>
      </c>
      <c r="C388" t="s">
        <v>150</v>
      </c>
      <c r="D388">
        <v>42834</v>
      </c>
      <c r="E388">
        <v>42862</v>
      </c>
      <c r="F388">
        <v>42842</v>
      </c>
      <c r="G388" t="s">
        <v>645</v>
      </c>
      <c r="H388">
        <v>213.4</v>
      </c>
      <c r="I388" t="s">
        <v>352</v>
      </c>
      <c r="J388" t="str">
        <f t="shared" si="5"/>
        <v>Apr</v>
      </c>
    </row>
    <row r="389" spans="2:10" hidden="1" x14ac:dyDescent="0.25">
      <c r="B389">
        <v>10610</v>
      </c>
      <c r="C389" t="s">
        <v>150</v>
      </c>
      <c r="D389">
        <v>42941</v>
      </c>
      <c r="E389">
        <v>42969</v>
      </c>
      <c r="F389">
        <v>42953</v>
      </c>
      <c r="G389" t="s">
        <v>645</v>
      </c>
      <c r="H389">
        <v>133.9</v>
      </c>
      <c r="I389" t="s">
        <v>352</v>
      </c>
      <c r="J389" t="str">
        <f t="shared" si="5"/>
        <v>Jul</v>
      </c>
    </row>
    <row r="390" spans="2:10" hidden="1" x14ac:dyDescent="0.25">
      <c r="B390">
        <v>10631</v>
      </c>
      <c r="C390" t="s">
        <v>150</v>
      </c>
      <c r="D390">
        <v>42961</v>
      </c>
      <c r="E390">
        <v>42989</v>
      </c>
      <c r="F390">
        <v>42962</v>
      </c>
      <c r="G390" t="s">
        <v>645</v>
      </c>
      <c r="H390">
        <v>4.3499999999999996</v>
      </c>
      <c r="I390" t="s">
        <v>352</v>
      </c>
      <c r="J390" t="str">
        <f t="shared" si="5"/>
        <v>Aug</v>
      </c>
    </row>
    <row r="391" spans="2:10" hidden="1" x14ac:dyDescent="0.25">
      <c r="B391">
        <v>10787</v>
      </c>
      <c r="C391" t="s">
        <v>150</v>
      </c>
      <c r="D391">
        <v>43088</v>
      </c>
      <c r="E391">
        <v>43102</v>
      </c>
      <c r="F391">
        <v>43095</v>
      </c>
      <c r="G391" t="s">
        <v>645</v>
      </c>
      <c r="H391">
        <v>1249.6500000000001</v>
      </c>
      <c r="I391" t="s">
        <v>352</v>
      </c>
      <c r="J391" t="str">
        <f t="shared" si="5"/>
        <v>Dec</v>
      </c>
    </row>
    <row r="392" spans="2:10" hidden="1" x14ac:dyDescent="0.25">
      <c r="B392">
        <v>10832</v>
      </c>
      <c r="C392" t="s">
        <v>150</v>
      </c>
      <c r="D392">
        <v>43114</v>
      </c>
      <c r="E392">
        <v>43142</v>
      </c>
      <c r="F392">
        <v>43119</v>
      </c>
      <c r="G392" t="s">
        <v>646</v>
      </c>
      <c r="H392">
        <v>216.29999999999998</v>
      </c>
      <c r="I392" t="s">
        <v>352</v>
      </c>
      <c r="J392" t="str">
        <f t="shared" si="5"/>
        <v>Jan</v>
      </c>
    </row>
    <row r="393" spans="2:10" hidden="1" x14ac:dyDescent="0.25">
      <c r="B393">
        <v>10923</v>
      </c>
      <c r="C393" t="s">
        <v>150</v>
      </c>
      <c r="D393">
        <v>43162</v>
      </c>
      <c r="E393">
        <v>43204</v>
      </c>
      <c r="F393">
        <v>43172</v>
      </c>
      <c r="G393" t="s">
        <v>647</v>
      </c>
      <c r="H393">
        <v>341.3</v>
      </c>
      <c r="I393" t="s">
        <v>352</v>
      </c>
      <c r="J393" t="str">
        <f t="shared" si="5"/>
        <v>Mar</v>
      </c>
    </row>
    <row r="394" spans="2:10" hidden="1" x14ac:dyDescent="0.25">
      <c r="B394">
        <v>11051</v>
      </c>
      <c r="C394" t="s">
        <v>150</v>
      </c>
      <c r="D394">
        <v>43217</v>
      </c>
      <c r="E394">
        <v>43245</v>
      </c>
      <c r="F394"/>
      <c r="G394" t="s">
        <v>647</v>
      </c>
      <c r="H394">
        <v>13.95</v>
      </c>
      <c r="I394" t="s">
        <v>352</v>
      </c>
      <c r="J394" t="str">
        <f t="shared" si="5"/>
        <v>Apr</v>
      </c>
    </row>
    <row r="395" spans="2:10" hidden="1" x14ac:dyDescent="0.25">
      <c r="B395">
        <v>10495</v>
      </c>
      <c r="C395" t="s">
        <v>153</v>
      </c>
      <c r="D395">
        <v>42828</v>
      </c>
      <c r="E395">
        <v>42856</v>
      </c>
      <c r="F395">
        <v>42836</v>
      </c>
      <c r="G395" t="s">
        <v>647</v>
      </c>
      <c r="H395">
        <v>23.25</v>
      </c>
      <c r="I395" t="s">
        <v>353</v>
      </c>
      <c r="J395" t="str">
        <f t="shared" si="5"/>
        <v>Apr</v>
      </c>
    </row>
    <row r="396" spans="2:10" hidden="1" x14ac:dyDescent="0.25">
      <c r="B396">
        <v>10620</v>
      </c>
      <c r="C396" t="s">
        <v>153</v>
      </c>
      <c r="D396">
        <v>42952</v>
      </c>
      <c r="E396">
        <v>42980</v>
      </c>
      <c r="F396">
        <v>42961</v>
      </c>
      <c r="G396" t="s">
        <v>647</v>
      </c>
      <c r="H396">
        <v>4.6999999999999993</v>
      </c>
      <c r="I396" t="s">
        <v>353</v>
      </c>
      <c r="J396" t="str">
        <f t="shared" si="5"/>
        <v>Aug</v>
      </c>
    </row>
    <row r="397" spans="2:10" hidden="1" x14ac:dyDescent="0.25">
      <c r="B397">
        <v>10810</v>
      </c>
      <c r="C397" t="s">
        <v>153</v>
      </c>
      <c r="D397">
        <v>43101</v>
      </c>
      <c r="E397">
        <v>43129</v>
      </c>
      <c r="F397">
        <v>43107</v>
      </c>
      <c r="G397" t="s">
        <v>647</v>
      </c>
      <c r="H397">
        <v>21.65</v>
      </c>
      <c r="I397" t="s">
        <v>353</v>
      </c>
      <c r="J397" t="str">
        <f t="shared" si="5"/>
        <v>Jan</v>
      </c>
    </row>
    <row r="398" spans="2:10" hidden="1" x14ac:dyDescent="0.25">
      <c r="B398">
        <v>10482</v>
      </c>
      <c r="C398" t="s">
        <v>156</v>
      </c>
      <c r="D398">
        <v>42815</v>
      </c>
      <c r="E398">
        <v>42843</v>
      </c>
      <c r="F398">
        <v>42835</v>
      </c>
      <c r="G398" t="s">
        <v>647</v>
      </c>
      <c r="H398">
        <v>37.400000000000006</v>
      </c>
      <c r="I398" t="s">
        <v>354</v>
      </c>
      <c r="J398" t="str">
        <f t="shared" si="5"/>
        <v>Mar</v>
      </c>
    </row>
    <row r="399" spans="2:10" hidden="1" x14ac:dyDescent="0.25">
      <c r="B399">
        <v>10545</v>
      </c>
      <c r="C399" t="s">
        <v>156</v>
      </c>
      <c r="D399">
        <v>42877</v>
      </c>
      <c r="E399">
        <v>42905</v>
      </c>
      <c r="F399">
        <v>42912</v>
      </c>
      <c r="G399" t="s">
        <v>646</v>
      </c>
      <c r="H399">
        <v>59.6</v>
      </c>
      <c r="I399" t="s">
        <v>354</v>
      </c>
      <c r="J399" t="str">
        <f t="shared" si="5"/>
        <v>May</v>
      </c>
    </row>
    <row r="400" spans="2:10" hidden="1" x14ac:dyDescent="0.25">
      <c r="B400">
        <v>10279</v>
      </c>
      <c r="C400" t="s">
        <v>160</v>
      </c>
      <c r="D400">
        <v>42595</v>
      </c>
      <c r="E400">
        <v>42623</v>
      </c>
      <c r="F400">
        <v>42598</v>
      </c>
      <c r="G400" t="s">
        <v>646</v>
      </c>
      <c r="H400">
        <v>129.14999999999998</v>
      </c>
      <c r="I400" t="s">
        <v>355</v>
      </c>
      <c r="J400" t="str">
        <f t="shared" si="5"/>
        <v>Aug</v>
      </c>
    </row>
    <row r="401" spans="2:10" hidden="1" x14ac:dyDescent="0.25">
      <c r="B401">
        <v>10284</v>
      </c>
      <c r="C401" t="s">
        <v>160</v>
      </c>
      <c r="D401">
        <v>42601</v>
      </c>
      <c r="E401">
        <v>42629</v>
      </c>
      <c r="F401">
        <v>42609</v>
      </c>
      <c r="G401" t="s">
        <v>645</v>
      </c>
      <c r="H401">
        <v>382.8</v>
      </c>
      <c r="I401" t="s">
        <v>355</v>
      </c>
      <c r="J401" t="str">
        <f t="shared" ref="J401:J464" si="6">TEXT(D401,"mmm")</f>
        <v>Aug</v>
      </c>
    </row>
    <row r="402" spans="2:10" hidden="1" x14ac:dyDescent="0.25">
      <c r="B402">
        <v>10343</v>
      </c>
      <c r="C402" t="s">
        <v>160</v>
      </c>
      <c r="D402">
        <v>42674</v>
      </c>
      <c r="E402">
        <v>42702</v>
      </c>
      <c r="F402">
        <v>42680</v>
      </c>
      <c r="G402" t="s">
        <v>645</v>
      </c>
      <c r="H402">
        <v>551.85</v>
      </c>
      <c r="I402" t="s">
        <v>355</v>
      </c>
      <c r="J402" t="str">
        <f t="shared" si="6"/>
        <v>Oct</v>
      </c>
    </row>
    <row r="403" spans="2:10" hidden="1" x14ac:dyDescent="0.25">
      <c r="B403">
        <v>10497</v>
      </c>
      <c r="C403" t="s">
        <v>160</v>
      </c>
      <c r="D403">
        <v>42829</v>
      </c>
      <c r="E403">
        <v>42857</v>
      </c>
      <c r="F403">
        <v>42832</v>
      </c>
      <c r="G403" t="s">
        <v>645</v>
      </c>
      <c r="H403">
        <v>181.05</v>
      </c>
      <c r="I403" t="s">
        <v>355</v>
      </c>
      <c r="J403" t="str">
        <f t="shared" si="6"/>
        <v>Apr</v>
      </c>
    </row>
    <row r="404" spans="2:10" hidden="1" x14ac:dyDescent="0.25">
      <c r="B404">
        <v>10522</v>
      </c>
      <c r="C404" t="s">
        <v>160</v>
      </c>
      <c r="D404">
        <v>42855</v>
      </c>
      <c r="E404">
        <v>42883</v>
      </c>
      <c r="F404">
        <v>42861</v>
      </c>
      <c r="G404" t="s">
        <v>645</v>
      </c>
      <c r="H404">
        <v>226.64999999999998</v>
      </c>
      <c r="I404" t="s">
        <v>355</v>
      </c>
      <c r="J404" t="str">
        <f t="shared" si="6"/>
        <v>Apr</v>
      </c>
    </row>
    <row r="405" spans="2:10" hidden="1" x14ac:dyDescent="0.25">
      <c r="B405">
        <v>10534</v>
      </c>
      <c r="C405" t="s">
        <v>160</v>
      </c>
      <c r="D405">
        <v>42867</v>
      </c>
      <c r="E405">
        <v>42895</v>
      </c>
      <c r="F405">
        <v>42869</v>
      </c>
      <c r="G405" t="s">
        <v>646</v>
      </c>
      <c r="H405">
        <v>139.70000000000002</v>
      </c>
      <c r="I405" t="s">
        <v>355</v>
      </c>
      <c r="J405" t="str">
        <f t="shared" si="6"/>
        <v>May</v>
      </c>
    </row>
    <row r="406" spans="2:10" hidden="1" x14ac:dyDescent="0.25">
      <c r="B406">
        <v>10536</v>
      </c>
      <c r="C406" t="s">
        <v>160</v>
      </c>
      <c r="D406">
        <v>42869</v>
      </c>
      <c r="E406">
        <v>42897</v>
      </c>
      <c r="F406">
        <v>42892</v>
      </c>
      <c r="G406" t="s">
        <v>646</v>
      </c>
      <c r="H406">
        <v>294.40000000000003</v>
      </c>
      <c r="I406" t="s">
        <v>355</v>
      </c>
      <c r="J406" t="str">
        <f t="shared" si="6"/>
        <v>May</v>
      </c>
    </row>
    <row r="407" spans="2:10" hidden="1" x14ac:dyDescent="0.25">
      <c r="B407">
        <v>10557</v>
      </c>
      <c r="C407" t="s">
        <v>160</v>
      </c>
      <c r="D407">
        <v>42889</v>
      </c>
      <c r="E407">
        <v>42903</v>
      </c>
      <c r="F407">
        <v>42892</v>
      </c>
      <c r="G407" t="s">
        <v>646</v>
      </c>
      <c r="H407">
        <v>483.6</v>
      </c>
      <c r="I407" t="s">
        <v>355</v>
      </c>
      <c r="J407" t="str">
        <f t="shared" si="6"/>
        <v>Jun</v>
      </c>
    </row>
    <row r="408" spans="2:10" hidden="1" x14ac:dyDescent="0.25">
      <c r="B408">
        <v>10592</v>
      </c>
      <c r="C408" t="s">
        <v>160</v>
      </c>
      <c r="D408">
        <v>42924</v>
      </c>
      <c r="E408">
        <v>42952</v>
      </c>
      <c r="F408">
        <v>42932</v>
      </c>
      <c r="G408" t="s">
        <v>645</v>
      </c>
      <c r="H408">
        <v>160.5</v>
      </c>
      <c r="I408" t="s">
        <v>355</v>
      </c>
      <c r="J408" t="str">
        <f t="shared" si="6"/>
        <v>Jul</v>
      </c>
    </row>
    <row r="409" spans="2:10" hidden="1" x14ac:dyDescent="0.25">
      <c r="B409">
        <v>10593</v>
      </c>
      <c r="C409" t="s">
        <v>160</v>
      </c>
      <c r="D409">
        <v>42925</v>
      </c>
      <c r="E409">
        <v>42953</v>
      </c>
      <c r="F409">
        <v>42960</v>
      </c>
      <c r="G409" t="s">
        <v>646</v>
      </c>
      <c r="H409">
        <v>871</v>
      </c>
      <c r="I409" t="s">
        <v>355</v>
      </c>
      <c r="J409" t="str">
        <f t="shared" si="6"/>
        <v>Jul</v>
      </c>
    </row>
    <row r="410" spans="2:10" hidden="1" x14ac:dyDescent="0.25">
      <c r="B410">
        <v>10772</v>
      </c>
      <c r="C410" t="s">
        <v>160</v>
      </c>
      <c r="D410">
        <v>43079</v>
      </c>
      <c r="E410">
        <v>43107</v>
      </c>
      <c r="F410">
        <v>43088</v>
      </c>
      <c r="G410" t="s">
        <v>646</v>
      </c>
      <c r="H410">
        <v>456.4</v>
      </c>
      <c r="I410" t="s">
        <v>355</v>
      </c>
      <c r="J410" t="str">
        <f t="shared" si="6"/>
        <v>Dec</v>
      </c>
    </row>
    <row r="411" spans="2:10" hidden="1" x14ac:dyDescent="0.25">
      <c r="B411">
        <v>10862</v>
      </c>
      <c r="C411" t="s">
        <v>160</v>
      </c>
      <c r="D411">
        <v>43130</v>
      </c>
      <c r="E411">
        <v>43172</v>
      </c>
      <c r="F411">
        <v>43133</v>
      </c>
      <c r="G411" t="s">
        <v>646</v>
      </c>
      <c r="H411">
        <v>266.14999999999998</v>
      </c>
      <c r="I411" t="s">
        <v>355</v>
      </c>
      <c r="J411" t="str">
        <f t="shared" si="6"/>
        <v>Jan</v>
      </c>
    </row>
    <row r="412" spans="2:10" hidden="1" x14ac:dyDescent="0.25">
      <c r="B412">
        <v>10891</v>
      </c>
      <c r="C412" t="s">
        <v>160</v>
      </c>
      <c r="D412">
        <v>43148</v>
      </c>
      <c r="E412">
        <v>43176</v>
      </c>
      <c r="F412">
        <v>43150</v>
      </c>
      <c r="G412" t="s">
        <v>646</v>
      </c>
      <c r="H412">
        <v>101.85000000000001</v>
      </c>
      <c r="I412" t="s">
        <v>355</v>
      </c>
      <c r="J412" t="str">
        <f t="shared" si="6"/>
        <v>Feb</v>
      </c>
    </row>
    <row r="413" spans="2:10" hidden="1" x14ac:dyDescent="0.25">
      <c r="B413">
        <v>10934</v>
      </c>
      <c r="C413" t="s">
        <v>160</v>
      </c>
      <c r="D413">
        <v>43168</v>
      </c>
      <c r="E413">
        <v>43196</v>
      </c>
      <c r="F413">
        <v>43171</v>
      </c>
      <c r="G413" t="s">
        <v>647</v>
      </c>
      <c r="H413">
        <v>160.04999999999998</v>
      </c>
      <c r="I413" t="s">
        <v>355</v>
      </c>
      <c r="J413" t="str">
        <f t="shared" si="6"/>
        <v>Mar</v>
      </c>
    </row>
    <row r="414" spans="2:10" hidden="1" x14ac:dyDescent="0.25">
      <c r="B414">
        <v>11070</v>
      </c>
      <c r="C414" t="s">
        <v>160</v>
      </c>
      <c r="D414">
        <v>43225</v>
      </c>
      <c r="E414">
        <v>43253</v>
      </c>
      <c r="F414"/>
      <c r="G414" t="s">
        <v>645</v>
      </c>
      <c r="H414">
        <v>680</v>
      </c>
      <c r="I414" t="s">
        <v>355</v>
      </c>
      <c r="J414" t="str">
        <f t="shared" si="6"/>
        <v>May</v>
      </c>
    </row>
    <row r="415" spans="2:10" hidden="1" x14ac:dyDescent="0.25">
      <c r="B415">
        <v>10579</v>
      </c>
      <c r="C415" t="s">
        <v>163</v>
      </c>
      <c r="D415">
        <v>42911</v>
      </c>
      <c r="E415">
        <v>42939</v>
      </c>
      <c r="F415">
        <v>42920</v>
      </c>
      <c r="G415" t="s">
        <v>646</v>
      </c>
      <c r="H415">
        <v>68.650000000000006</v>
      </c>
      <c r="I415" t="s">
        <v>13</v>
      </c>
      <c r="J415" t="str">
        <f t="shared" si="6"/>
        <v>Jun</v>
      </c>
    </row>
    <row r="416" spans="2:10" hidden="1" x14ac:dyDescent="0.25">
      <c r="B416">
        <v>10719</v>
      </c>
      <c r="C416" t="s">
        <v>163</v>
      </c>
      <c r="D416">
        <v>43035</v>
      </c>
      <c r="E416">
        <v>43063</v>
      </c>
      <c r="F416">
        <v>43044</v>
      </c>
      <c r="G416" t="s">
        <v>646</v>
      </c>
      <c r="H416">
        <v>257.2</v>
      </c>
      <c r="I416" t="s">
        <v>13</v>
      </c>
      <c r="J416" t="str">
        <f t="shared" si="6"/>
        <v>Oct</v>
      </c>
    </row>
    <row r="417" spans="2:10" hidden="1" x14ac:dyDescent="0.25">
      <c r="B417">
        <v>10735</v>
      </c>
      <c r="C417" t="s">
        <v>163</v>
      </c>
      <c r="D417">
        <v>43049</v>
      </c>
      <c r="E417">
        <v>43077</v>
      </c>
      <c r="F417">
        <v>43060</v>
      </c>
      <c r="G417" t="s">
        <v>646</v>
      </c>
      <c r="H417">
        <v>229.85</v>
      </c>
      <c r="I417" t="s">
        <v>13</v>
      </c>
      <c r="J417" t="str">
        <f t="shared" si="6"/>
        <v>Nov</v>
      </c>
    </row>
    <row r="418" spans="2:10" hidden="1" x14ac:dyDescent="0.25">
      <c r="B418">
        <v>10884</v>
      </c>
      <c r="C418" t="s">
        <v>163</v>
      </c>
      <c r="D418">
        <v>43143</v>
      </c>
      <c r="E418">
        <v>43171</v>
      </c>
      <c r="F418">
        <v>43144</v>
      </c>
      <c r="G418" t="s">
        <v>646</v>
      </c>
      <c r="H418">
        <v>454.85</v>
      </c>
      <c r="I418" t="s">
        <v>13</v>
      </c>
      <c r="J418" t="str">
        <f t="shared" si="6"/>
        <v>Feb</v>
      </c>
    </row>
    <row r="419" spans="2:10" hidden="1" x14ac:dyDescent="0.25">
      <c r="B419">
        <v>10283</v>
      </c>
      <c r="C419" t="s">
        <v>166</v>
      </c>
      <c r="D419">
        <v>42598</v>
      </c>
      <c r="E419">
        <v>42626</v>
      </c>
      <c r="F419">
        <v>42605</v>
      </c>
      <c r="G419" t="s">
        <v>647</v>
      </c>
      <c r="H419">
        <v>424.05</v>
      </c>
      <c r="I419" t="s">
        <v>356</v>
      </c>
      <c r="J419" t="str">
        <f t="shared" si="6"/>
        <v>Aug</v>
      </c>
    </row>
    <row r="420" spans="2:10" hidden="1" x14ac:dyDescent="0.25">
      <c r="B420">
        <v>10296</v>
      </c>
      <c r="C420" t="s">
        <v>166</v>
      </c>
      <c r="D420">
        <v>42616</v>
      </c>
      <c r="E420">
        <v>42644</v>
      </c>
      <c r="F420">
        <v>42624</v>
      </c>
      <c r="G420" t="s">
        <v>645</v>
      </c>
      <c r="H420">
        <v>0.6</v>
      </c>
      <c r="I420" t="s">
        <v>356</v>
      </c>
      <c r="J420" t="str">
        <f t="shared" si="6"/>
        <v>Sep</v>
      </c>
    </row>
    <row r="421" spans="2:10" hidden="1" x14ac:dyDescent="0.25">
      <c r="B421">
        <v>10330</v>
      </c>
      <c r="C421" t="s">
        <v>166</v>
      </c>
      <c r="D421">
        <v>42659</v>
      </c>
      <c r="E421">
        <v>42687</v>
      </c>
      <c r="F421">
        <v>42671</v>
      </c>
      <c r="G421" t="s">
        <v>645</v>
      </c>
      <c r="H421">
        <v>63.75</v>
      </c>
      <c r="I421" t="s">
        <v>356</v>
      </c>
      <c r="J421" t="str">
        <f t="shared" si="6"/>
        <v>Oct</v>
      </c>
    </row>
    <row r="422" spans="2:10" hidden="1" x14ac:dyDescent="0.25">
      <c r="B422">
        <v>10357</v>
      </c>
      <c r="C422" t="s">
        <v>166</v>
      </c>
      <c r="D422">
        <v>42693</v>
      </c>
      <c r="E422">
        <v>42721</v>
      </c>
      <c r="F422">
        <v>42706</v>
      </c>
      <c r="G422" t="s">
        <v>647</v>
      </c>
      <c r="H422">
        <v>174.4</v>
      </c>
      <c r="I422" t="s">
        <v>356</v>
      </c>
      <c r="J422" t="str">
        <f t="shared" si="6"/>
        <v>Nov</v>
      </c>
    </row>
    <row r="423" spans="2:10" hidden="1" x14ac:dyDescent="0.25">
      <c r="B423">
        <v>10381</v>
      </c>
      <c r="C423" t="s">
        <v>166</v>
      </c>
      <c r="D423">
        <v>42716</v>
      </c>
      <c r="E423">
        <v>42744</v>
      </c>
      <c r="F423">
        <v>42717</v>
      </c>
      <c r="G423" t="s">
        <v>647</v>
      </c>
      <c r="H423">
        <v>39.950000000000003</v>
      </c>
      <c r="I423" t="s">
        <v>356</v>
      </c>
      <c r="J423" t="str">
        <f t="shared" si="6"/>
        <v>Dec</v>
      </c>
    </row>
    <row r="424" spans="2:10" hidden="1" x14ac:dyDescent="0.25">
      <c r="B424">
        <v>10461</v>
      </c>
      <c r="C424" t="s">
        <v>166</v>
      </c>
      <c r="D424">
        <v>42794</v>
      </c>
      <c r="E424">
        <v>42822</v>
      </c>
      <c r="F424">
        <v>42799</v>
      </c>
      <c r="G424" t="s">
        <v>647</v>
      </c>
      <c r="H424">
        <v>743.05000000000007</v>
      </c>
      <c r="I424" t="s">
        <v>356</v>
      </c>
      <c r="J424" t="str">
        <f t="shared" si="6"/>
        <v>Feb</v>
      </c>
    </row>
    <row r="425" spans="2:10" hidden="1" x14ac:dyDescent="0.25">
      <c r="B425">
        <v>10499</v>
      </c>
      <c r="C425" t="s">
        <v>166</v>
      </c>
      <c r="D425">
        <v>42833</v>
      </c>
      <c r="E425">
        <v>42861</v>
      </c>
      <c r="F425">
        <v>42841</v>
      </c>
      <c r="G425" t="s">
        <v>646</v>
      </c>
      <c r="H425">
        <v>510.09999999999997</v>
      </c>
      <c r="I425" t="s">
        <v>356</v>
      </c>
      <c r="J425" t="str">
        <f t="shared" si="6"/>
        <v>Apr</v>
      </c>
    </row>
    <row r="426" spans="2:10" hidden="1" x14ac:dyDescent="0.25">
      <c r="B426">
        <v>10543</v>
      </c>
      <c r="C426" t="s">
        <v>166</v>
      </c>
      <c r="D426">
        <v>42876</v>
      </c>
      <c r="E426">
        <v>42904</v>
      </c>
      <c r="F426">
        <v>42878</v>
      </c>
      <c r="G426" t="s">
        <v>646</v>
      </c>
      <c r="H426">
        <v>240.85000000000002</v>
      </c>
      <c r="I426" t="s">
        <v>356</v>
      </c>
      <c r="J426" t="str">
        <f t="shared" si="6"/>
        <v>May</v>
      </c>
    </row>
    <row r="427" spans="2:10" hidden="1" x14ac:dyDescent="0.25">
      <c r="B427">
        <v>10780</v>
      </c>
      <c r="C427" t="s">
        <v>166</v>
      </c>
      <c r="D427">
        <v>43085</v>
      </c>
      <c r="E427">
        <v>43099</v>
      </c>
      <c r="F427">
        <v>43094</v>
      </c>
      <c r="G427" t="s">
        <v>645</v>
      </c>
      <c r="H427">
        <v>210.65</v>
      </c>
      <c r="I427" t="s">
        <v>356</v>
      </c>
      <c r="J427" t="str">
        <f t="shared" si="6"/>
        <v>Dec</v>
      </c>
    </row>
    <row r="428" spans="2:10" hidden="1" x14ac:dyDescent="0.25">
      <c r="B428">
        <v>10823</v>
      </c>
      <c r="C428" t="s">
        <v>166</v>
      </c>
      <c r="D428">
        <v>43109</v>
      </c>
      <c r="E428">
        <v>43137</v>
      </c>
      <c r="F428">
        <v>43113</v>
      </c>
      <c r="G428" t="s">
        <v>646</v>
      </c>
      <c r="H428">
        <v>819.85</v>
      </c>
      <c r="I428" t="s">
        <v>356</v>
      </c>
      <c r="J428" t="str">
        <f t="shared" si="6"/>
        <v>Jan</v>
      </c>
    </row>
    <row r="429" spans="2:10" hidden="1" x14ac:dyDescent="0.25">
      <c r="B429">
        <v>10899</v>
      </c>
      <c r="C429" t="s">
        <v>166</v>
      </c>
      <c r="D429">
        <v>43151</v>
      </c>
      <c r="E429">
        <v>43179</v>
      </c>
      <c r="F429">
        <v>43157</v>
      </c>
      <c r="G429" t="s">
        <v>647</v>
      </c>
      <c r="H429">
        <v>6.05</v>
      </c>
      <c r="I429" t="s">
        <v>356</v>
      </c>
      <c r="J429" t="str">
        <f t="shared" si="6"/>
        <v>Feb</v>
      </c>
    </row>
    <row r="430" spans="2:10" hidden="1" x14ac:dyDescent="0.25">
      <c r="B430">
        <v>10997</v>
      </c>
      <c r="C430" t="s">
        <v>166</v>
      </c>
      <c r="D430">
        <v>43193</v>
      </c>
      <c r="E430">
        <v>43235</v>
      </c>
      <c r="F430">
        <v>43203</v>
      </c>
      <c r="G430" t="s">
        <v>646</v>
      </c>
      <c r="H430">
        <v>369.54999999999995</v>
      </c>
      <c r="I430" t="s">
        <v>356</v>
      </c>
      <c r="J430" t="str">
        <f t="shared" si="6"/>
        <v>Apr</v>
      </c>
    </row>
    <row r="431" spans="2:10" hidden="1" x14ac:dyDescent="0.25">
      <c r="B431">
        <v>11065</v>
      </c>
      <c r="C431" t="s">
        <v>166</v>
      </c>
      <c r="D431">
        <v>43221</v>
      </c>
      <c r="E431">
        <v>43249</v>
      </c>
      <c r="F431"/>
      <c r="G431" t="s">
        <v>645</v>
      </c>
      <c r="H431">
        <v>64.55</v>
      </c>
      <c r="I431" t="s">
        <v>356</v>
      </c>
      <c r="J431" t="str">
        <f t="shared" si="6"/>
        <v>May</v>
      </c>
    </row>
    <row r="432" spans="2:10" hidden="1" x14ac:dyDescent="0.25">
      <c r="B432">
        <v>11071</v>
      </c>
      <c r="C432" t="s">
        <v>166</v>
      </c>
      <c r="D432">
        <v>43225</v>
      </c>
      <c r="E432">
        <v>43253</v>
      </c>
      <c r="F432"/>
      <c r="G432" t="s">
        <v>645</v>
      </c>
      <c r="H432">
        <v>4.6500000000000004</v>
      </c>
      <c r="I432" t="s">
        <v>356</v>
      </c>
      <c r="J432" t="str">
        <f t="shared" si="6"/>
        <v>May</v>
      </c>
    </row>
    <row r="433" spans="2:10" hidden="1" x14ac:dyDescent="0.25">
      <c r="B433">
        <v>10405</v>
      </c>
      <c r="C433" t="s">
        <v>169</v>
      </c>
      <c r="D433">
        <v>42741</v>
      </c>
      <c r="E433">
        <v>42769</v>
      </c>
      <c r="F433">
        <v>42757</v>
      </c>
      <c r="G433" t="s">
        <v>645</v>
      </c>
      <c r="H433">
        <v>174.1</v>
      </c>
      <c r="I433" t="s">
        <v>357</v>
      </c>
      <c r="J433" t="str">
        <f t="shared" si="6"/>
        <v>Jan</v>
      </c>
    </row>
    <row r="434" spans="2:10" hidden="1" x14ac:dyDescent="0.25">
      <c r="B434">
        <v>10485</v>
      </c>
      <c r="C434" t="s">
        <v>169</v>
      </c>
      <c r="D434">
        <v>42819</v>
      </c>
      <c r="E434">
        <v>42833</v>
      </c>
      <c r="F434">
        <v>42825</v>
      </c>
      <c r="G434" t="s">
        <v>646</v>
      </c>
      <c r="H434">
        <v>322.25</v>
      </c>
      <c r="I434" t="s">
        <v>357</v>
      </c>
      <c r="J434" t="str">
        <f t="shared" si="6"/>
        <v>Mar</v>
      </c>
    </row>
    <row r="435" spans="2:10" hidden="1" x14ac:dyDescent="0.25">
      <c r="B435">
        <v>10638</v>
      </c>
      <c r="C435" t="s">
        <v>169</v>
      </c>
      <c r="D435">
        <v>42967</v>
      </c>
      <c r="E435">
        <v>42995</v>
      </c>
      <c r="F435">
        <v>42979</v>
      </c>
      <c r="G435" t="s">
        <v>645</v>
      </c>
      <c r="H435">
        <v>792.2</v>
      </c>
      <c r="I435" t="s">
        <v>357</v>
      </c>
      <c r="J435" t="str">
        <f t="shared" si="6"/>
        <v>Aug</v>
      </c>
    </row>
    <row r="436" spans="2:10" hidden="1" x14ac:dyDescent="0.25">
      <c r="B436">
        <v>10697</v>
      </c>
      <c r="C436" t="s">
        <v>169</v>
      </c>
      <c r="D436">
        <v>43016</v>
      </c>
      <c r="E436">
        <v>43044</v>
      </c>
      <c r="F436">
        <v>43022</v>
      </c>
      <c r="G436" t="s">
        <v>645</v>
      </c>
      <c r="H436">
        <v>227.60000000000002</v>
      </c>
      <c r="I436" t="s">
        <v>357</v>
      </c>
      <c r="J436" t="str">
        <f t="shared" si="6"/>
        <v>Oct</v>
      </c>
    </row>
    <row r="437" spans="2:10" hidden="1" x14ac:dyDescent="0.25">
      <c r="B437">
        <v>10729</v>
      </c>
      <c r="C437" t="s">
        <v>169</v>
      </c>
      <c r="D437">
        <v>43043</v>
      </c>
      <c r="E437">
        <v>43085</v>
      </c>
      <c r="F437">
        <v>43053</v>
      </c>
      <c r="G437" t="s">
        <v>647</v>
      </c>
      <c r="H437">
        <v>705.3</v>
      </c>
      <c r="I437" t="s">
        <v>357</v>
      </c>
      <c r="J437" t="str">
        <f t="shared" si="6"/>
        <v>Nov</v>
      </c>
    </row>
    <row r="438" spans="2:10" hidden="1" x14ac:dyDescent="0.25">
      <c r="B438">
        <v>10811</v>
      </c>
      <c r="C438" t="s">
        <v>169</v>
      </c>
      <c r="D438">
        <v>43102</v>
      </c>
      <c r="E438">
        <v>43130</v>
      </c>
      <c r="F438">
        <v>43108</v>
      </c>
      <c r="G438" t="s">
        <v>645</v>
      </c>
      <c r="H438">
        <v>156.1</v>
      </c>
      <c r="I438" t="s">
        <v>357</v>
      </c>
      <c r="J438" t="str">
        <f t="shared" si="6"/>
        <v>Jan</v>
      </c>
    </row>
    <row r="439" spans="2:10" hidden="1" x14ac:dyDescent="0.25">
      <c r="B439">
        <v>10838</v>
      </c>
      <c r="C439" t="s">
        <v>169</v>
      </c>
      <c r="D439">
        <v>43119</v>
      </c>
      <c r="E439">
        <v>43147</v>
      </c>
      <c r="F439">
        <v>43123</v>
      </c>
      <c r="G439" t="s">
        <v>647</v>
      </c>
      <c r="H439">
        <v>296.39999999999998</v>
      </c>
      <c r="I439" t="s">
        <v>357</v>
      </c>
      <c r="J439" t="str">
        <f t="shared" si="6"/>
        <v>Jan</v>
      </c>
    </row>
    <row r="440" spans="2:10" hidden="1" x14ac:dyDescent="0.25">
      <c r="B440">
        <v>10840</v>
      </c>
      <c r="C440" t="s">
        <v>169</v>
      </c>
      <c r="D440">
        <v>43119</v>
      </c>
      <c r="E440">
        <v>43161</v>
      </c>
      <c r="F440">
        <v>43147</v>
      </c>
      <c r="G440" t="s">
        <v>646</v>
      </c>
      <c r="H440">
        <v>13.55</v>
      </c>
      <c r="I440" t="s">
        <v>357</v>
      </c>
      <c r="J440" t="str">
        <f t="shared" si="6"/>
        <v>Jan</v>
      </c>
    </row>
    <row r="441" spans="2:10" hidden="1" x14ac:dyDescent="0.25">
      <c r="B441">
        <v>10919</v>
      </c>
      <c r="C441" t="s">
        <v>169</v>
      </c>
      <c r="D441">
        <v>43161</v>
      </c>
      <c r="E441">
        <v>43189</v>
      </c>
      <c r="F441">
        <v>43163</v>
      </c>
      <c r="G441" t="s">
        <v>646</v>
      </c>
      <c r="H441">
        <v>99</v>
      </c>
      <c r="I441" t="s">
        <v>357</v>
      </c>
      <c r="J441" t="str">
        <f t="shared" si="6"/>
        <v>Mar</v>
      </c>
    </row>
    <row r="442" spans="2:10" hidden="1" x14ac:dyDescent="0.25">
      <c r="B442">
        <v>10954</v>
      </c>
      <c r="C442" t="s">
        <v>169</v>
      </c>
      <c r="D442">
        <v>43176</v>
      </c>
      <c r="E442">
        <v>43218</v>
      </c>
      <c r="F442">
        <v>43179</v>
      </c>
      <c r="G442" t="s">
        <v>645</v>
      </c>
      <c r="H442">
        <v>139.55000000000001</v>
      </c>
      <c r="I442" t="s">
        <v>357</v>
      </c>
      <c r="J442" t="str">
        <f t="shared" si="6"/>
        <v>Mar</v>
      </c>
    </row>
    <row r="443" spans="2:10" hidden="1" x14ac:dyDescent="0.25">
      <c r="B443">
        <v>11014</v>
      </c>
      <c r="C443" t="s">
        <v>169</v>
      </c>
      <c r="D443">
        <v>43200</v>
      </c>
      <c r="E443">
        <v>43228</v>
      </c>
      <c r="F443">
        <v>43205</v>
      </c>
      <c r="G443" t="s">
        <v>647</v>
      </c>
      <c r="H443">
        <v>118</v>
      </c>
      <c r="I443" t="s">
        <v>357</v>
      </c>
      <c r="J443" t="str">
        <f t="shared" si="6"/>
        <v>Apr</v>
      </c>
    </row>
    <row r="444" spans="2:10" hidden="1" x14ac:dyDescent="0.25">
      <c r="B444">
        <v>11039</v>
      </c>
      <c r="C444" t="s">
        <v>169</v>
      </c>
      <c r="D444">
        <v>43211</v>
      </c>
      <c r="E444">
        <v>43239</v>
      </c>
      <c r="F444"/>
      <c r="G444" t="s">
        <v>646</v>
      </c>
      <c r="H444">
        <v>325</v>
      </c>
      <c r="I444" t="s">
        <v>357</v>
      </c>
      <c r="J444" t="str">
        <f t="shared" si="6"/>
        <v>Apr</v>
      </c>
    </row>
    <row r="445" spans="2:10" hidden="1" x14ac:dyDescent="0.25">
      <c r="B445">
        <v>10307</v>
      </c>
      <c r="C445" t="s">
        <v>172</v>
      </c>
      <c r="D445">
        <v>42630</v>
      </c>
      <c r="E445">
        <v>42658</v>
      </c>
      <c r="F445">
        <v>42638</v>
      </c>
      <c r="G445" t="s">
        <v>646</v>
      </c>
      <c r="H445">
        <v>2.8000000000000003</v>
      </c>
      <c r="I445" t="s">
        <v>358</v>
      </c>
      <c r="J445" t="str">
        <f t="shared" si="6"/>
        <v>Sep</v>
      </c>
    </row>
    <row r="446" spans="2:10" hidden="1" x14ac:dyDescent="0.25">
      <c r="B446">
        <v>10317</v>
      </c>
      <c r="C446" t="s">
        <v>172</v>
      </c>
      <c r="D446">
        <v>42643</v>
      </c>
      <c r="E446">
        <v>42671</v>
      </c>
      <c r="F446">
        <v>42653</v>
      </c>
      <c r="G446" t="s">
        <v>645</v>
      </c>
      <c r="H446">
        <v>63.449999999999996</v>
      </c>
      <c r="I446" t="s">
        <v>358</v>
      </c>
      <c r="J446" t="str">
        <f t="shared" si="6"/>
        <v>Sep</v>
      </c>
    </row>
    <row r="447" spans="2:10" hidden="1" x14ac:dyDescent="0.25">
      <c r="B447">
        <v>10544</v>
      </c>
      <c r="C447" t="s">
        <v>172</v>
      </c>
      <c r="D447">
        <v>42876</v>
      </c>
      <c r="E447">
        <v>42904</v>
      </c>
      <c r="F447">
        <v>42885</v>
      </c>
      <c r="G447" t="s">
        <v>645</v>
      </c>
      <c r="H447">
        <v>124.55</v>
      </c>
      <c r="I447" t="s">
        <v>358</v>
      </c>
      <c r="J447" t="str">
        <f t="shared" si="6"/>
        <v>May</v>
      </c>
    </row>
    <row r="448" spans="2:10" hidden="1" x14ac:dyDescent="0.25">
      <c r="B448">
        <v>10662</v>
      </c>
      <c r="C448" t="s">
        <v>172</v>
      </c>
      <c r="D448">
        <v>42987</v>
      </c>
      <c r="E448">
        <v>43015</v>
      </c>
      <c r="F448">
        <v>42996</v>
      </c>
      <c r="G448" t="s">
        <v>646</v>
      </c>
      <c r="H448">
        <v>6.4</v>
      </c>
      <c r="I448" t="s">
        <v>358</v>
      </c>
      <c r="J448" t="str">
        <f t="shared" si="6"/>
        <v>Sep</v>
      </c>
    </row>
    <row r="449" spans="2:10" hidden="1" x14ac:dyDescent="0.25">
      <c r="B449">
        <v>10665</v>
      </c>
      <c r="C449" t="s">
        <v>172</v>
      </c>
      <c r="D449">
        <v>42989</v>
      </c>
      <c r="E449">
        <v>43017</v>
      </c>
      <c r="F449">
        <v>42995</v>
      </c>
      <c r="G449" t="s">
        <v>646</v>
      </c>
      <c r="H449">
        <v>131.54999999999998</v>
      </c>
      <c r="I449" t="s">
        <v>358</v>
      </c>
      <c r="J449" t="str">
        <f t="shared" si="6"/>
        <v>Sep</v>
      </c>
    </row>
    <row r="450" spans="2:10" hidden="1" x14ac:dyDescent="0.25">
      <c r="B450">
        <v>10867</v>
      </c>
      <c r="C450" t="s">
        <v>172</v>
      </c>
      <c r="D450">
        <v>43134</v>
      </c>
      <c r="E450">
        <v>43176</v>
      </c>
      <c r="F450">
        <v>43142</v>
      </c>
      <c r="G450" t="s">
        <v>645</v>
      </c>
      <c r="H450">
        <v>9.65</v>
      </c>
      <c r="I450" t="s">
        <v>358</v>
      </c>
      <c r="J450" t="str">
        <f t="shared" si="6"/>
        <v>Feb</v>
      </c>
    </row>
    <row r="451" spans="2:10" hidden="1" x14ac:dyDescent="0.25">
      <c r="B451">
        <v>10883</v>
      </c>
      <c r="C451" t="s">
        <v>172</v>
      </c>
      <c r="D451">
        <v>43143</v>
      </c>
      <c r="E451">
        <v>43171</v>
      </c>
      <c r="F451">
        <v>43151</v>
      </c>
      <c r="G451" t="s">
        <v>647</v>
      </c>
      <c r="H451">
        <v>2.6500000000000004</v>
      </c>
      <c r="I451" t="s">
        <v>358</v>
      </c>
      <c r="J451" t="str">
        <f t="shared" si="6"/>
        <v>Feb</v>
      </c>
    </row>
    <row r="452" spans="2:10" hidden="1" x14ac:dyDescent="0.25">
      <c r="B452">
        <v>11018</v>
      </c>
      <c r="C452" t="s">
        <v>172</v>
      </c>
      <c r="D452">
        <v>43203</v>
      </c>
      <c r="E452">
        <v>43231</v>
      </c>
      <c r="F452">
        <v>43206</v>
      </c>
      <c r="G452" t="s">
        <v>646</v>
      </c>
      <c r="H452">
        <v>58.25</v>
      </c>
      <c r="I452" t="s">
        <v>358</v>
      </c>
      <c r="J452" t="str">
        <f t="shared" si="6"/>
        <v>Apr</v>
      </c>
    </row>
    <row r="453" spans="2:10" hidden="1" x14ac:dyDescent="0.25">
      <c r="B453">
        <v>10275</v>
      </c>
      <c r="C453" t="s">
        <v>175</v>
      </c>
      <c r="D453">
        <v>42589</v>
      </c>
      <c r="E453">
        <v>42617</v>
      </c>
      <c r="F453">
        <v>42591</v>
      </c>
      <c r="G453" t="s">
        <v>645</v>
      </c>
      <c r="H453">
        <v>134.65</v>
      </c>
      <c r="I453" t="s">
        <v>359</v>
      </c>
      <c r="J453" t="str">
        <f t="shared" si="6"/>
        <v>Aug</v>
      </c>
    </row>
    <row r="454" spans="2:10" hidden="1" x14ac:dyDescent="0.25">
      <c r="B454">
        <v>10300</v>
      </c>
      <c r="C454" t="s">
        <v>175</v>
      </c>
      <c r="D454">
        <v>42622</v>
      </c>
      <c r="E454">
        <v>42650</v>
      </c>
      <c r="F454">
        <v>42631</v>
      </c>
      <c r="G454" t="s">
        <v>646</v>
      </c>
      <c r="H454">
        <v>88.4</v>
      </c>
      <c r="I454" t="s">
        <v>359</v>
      </c>
      <c r="J454" t="str">
        <f t="shared" si="6"/>
        <v>Sep</v>
      </c>
    </row>
    <row r="455" spans="2:10" hidden="1" x14ac:dyDescent="0.25">
      <c r="B455">
        <v>10404</v>
      </c>
      <c r="C455" t="s">
        <v>175</v>
      </c>
      <c r="D455">
        <v>42738</v>
      </c>
      <c r="E455">
        <v>42766</v>
      </c>
      <c r="F455">
        <v>42743</v>
      </c>
      <c r="G455" t="s">
        <v>645</v>
      </c>
      <c r="H455">
        <v>779.85</v>
      </c>
      <c r="I455" t="s">
        <v>359</v>
      </c>
      <c r="J455" t="str">
        <f t="shared" si="6"/>
        <v>Jan</v>
      </c>
    </row>
    <row r="456" spans="2:10" hidden="1" x14ac:dyDescent="0.25">
      <c r="B456">
        <v>10467</v>
      </c>
      <c r="C456" t="s">
        <v>175</v>
      </c>
      <c r="D456">
        <v>42800</v>
      </c>
      <c r="E456">
        <v>42828</v>
      </c>
      <c r="F456">
        <v>42805</v>
      </c>
      <c r="G456" t="s">
        <v>646</v>
      </c>
      <c r="H456">
        <v>24.65</v>
      </c>
      <c r="I456" t="s">
        <v>359</v>
      </c>
      <c r="J456" t="str">
        <f t="shared" si="6"/>
        <v>Mar</v>
      </c>
    </row>
    <row r="457" spans="2:10" hidden="1" x14ac:dyDescent="0.25">
      <c r="B457">
        <v>10635</v>
      </c>
      <c r="C457" t="s">
        <v>175</v>
      </c>
      <c r="D457">
        <v>42965</v>
      </c>
      <c r="E457">
        <v>42993</v>
      </c>
      <c r="F457">
        <v>42968</v>
      </c>
      <c r="G457" t="s">
        <v>647</v>
      </c>
      <c r="H457">
        <v>237.3</v>
      </c>
      <c r="I457" t="s">
        <v>359</v>
      </c>
      <c r="J457" t="str">
        <f t="shared" si="6"/>
        <v>Aug</v>
      </c>
    </row>
    <row r="458" spans="2:10" hidden="1" x14ac:dyDescent="0.25">
      <c r="B458">
        <v>10754</v>
      </c>
      <c r="C458" t="s">
        <v>175</v>
      </c>
      <c r="D458">
        <v>43064</v>
      </c>
      <c r="E458">
        <v>43092</v>
      </c>
      <c r="F458">
        <v>43066</v>
      </c>
      <c r="G458" t="s">
        <v>647</v>
      </c>
      <c r="H458">
        <v>11.899999999999999</v>
      </c>
      <c r="I458" t="s">
        <v>359</v>
      </c>
      <c r="J458" t="str">
        <f t="shared" si="6"/>
        <v>Nov</v>
      </c>
    </row>
    <row r="459" spans="2:10" hidden="1" x14ac:dyDescent="0.25">
      <c r="B459">
        <v>10784</v>
      </c>
      <c r="C459" t="s">
        <v>175</v>
      </c>
      <c r="D459">
        <v>43087</v>
      </c>
      <c r="E459">
        <v>43115</v>
      </c>
      <c r="F459">
        <v>43091</v>
      </c>
      <c r="G459" t="s">
        <v>647</v>
      </c>
      <c r="H459">
        <v>350.45000000000005</v>
      </c>
      <c r="I459" t="s">
        <v>359</v>
      </c>
      <c r="J459" t="str">
        <f t="shared" si="6"/>
        <v>Dec</v>
      </c>
    </row>
    <row r="460" spans="2:10" hidden="1" x14ac:dyDescent="0.25">
      <c r="B460">
        <v>10818</v>
      </c>
      <c r="C460" t="s">
        <v>175</v>
      </c>
      <c r="D460">
        <v>43107</v>
      </c>
      <c r="E460">
        <v>43135</v>
      </c>
      <c r="F460">
        <v>43112</v>
      </c>
      <c r="G460" t="s">
        <v>647</v>
      </c>
      <c r="H460">
        <v>327.40000000000003</v>
      </c>
      <c r="I460" t="s">
        <v>359</v>
      </c>
      <c r="J460" t="str">
        <f t="shared" si="6"/>
        <v>Jan</v>
      </c>
    </row>
    <row r="461" spans="2:10" hidden="1" x14ac:dyDescent="0.25">
      <c r="B461">
        <v>10939</v>
      </c>
      <c r="C461" t="s">
        <v>175</v>
      </c>
      <c r="D461">
        <v>43169</v>
      </c>
      <c r="E461">
        <v>43197</v>
      </c>
      <c r="F461">
        <v>43172</v>
      </c>
      <c r="G461" t="s">
        <v>646</v>
      </c>
      <c r="H461">
        <v>381.65</v>
      </c>
      <c r="I461" t="s">
        <v>359</v>
      </c>
      <c r="J461" t="str">
        <f t="shared" si="6"/>
        <v>Mar</v>
      </c>
    </row>
    <row r="462" spans="2:10" hidden="1" x14ac:dyDescent="0.25">
      <c r="B462">
        <v>10950</v>
      </c>
      <c r="C462" t="s">
        <v>175</v>
      </c>
      <c r="D462">
        <v>43175</v>
      </c>
      <c r="E462">
        <v>43203</v>
      </c>
      <c r="F462">
        <v>43182</v>
      </c>
      <c r="G462" t="s">
        <v>646</v>
      </c>
      <c r="H462">
        <v>12.5</v>
      </c>
      <c r="I462" t="s">
        <v>359</v>
      </c>
      <c r="J462" t="str">
        <f t="shared" si="6"/>
        <v>Mar</v>
      </c>
    </row>
    <row r="463" spans="2:10" hidden="1" x14ac:dyDescent="0.25">
      <c r="B463">
        <v>10529</v>
      </c>
      <c r="C463" t="s">
        <v>178</v>
      </c>
      <c r="D463">
        <v>42862</v>
      </c>
      <c r="E463">
        <v>42890</v>
      </c>
      <c r="F463">
        <v>42864</v>
      </c>
      <c r="G463" t="s">
        <v>646</v>
      </c>
      <c r="H463">
        <v>333.45</v>
      </c>
      <c r="I463" t="s">
        <v>12</v>
      </c>
      <c r="J463" t="str">
        <f t="shared" si="6"/>
        <v>May</v>
      </c>
    </row>
    <row r="464" spans="2:10" hidden="1" x14ac:dyDescent="0.25">
      <c r="B464">
        <v>10649</v>
      </c>
      <c r="C464" t="s">
        <v>178</v>
      </c>
      <c r="D464">
        <v>42975</v>
      </c>
      <c r="E464">
        <v>43003</v>
      </c>
      <c r="F464">
        <v>42976</v>
      </c>
      <c r="G464" t="s">
        <v>647</v>
      </c>
      <c r="H464">
        <v>31</v>
      </c>
      <c r="I464" t="s">
        <v>12</v>
      </c>
      <c r="J464" t="str">
        <f t="shared" si="6"/>
        <v>Aug</v>
      </c>
    </row>
    <row r="465" spans="2:10" hidden="1" x14ac:dyDescent="0.25">
      <c r="B465">
        <v>10760</v>
      </c>
      <c r="C465" t="s">
        <v>178</v>
      </c>
      <c r="D465">
        <v>43070</v>
      </c>
      <c r="E465">
        <v>43098</v>
      </c>
      <c r="F465">
        <v>43079</v>
      </c>
      <c r="G465" t="s">
        <v>645</v>
      </c>
      <c r="H465">
        <v>778.19999999999993</v>
      </c>
      <c r="I465" t="s">
        <v>12</v>
      </c>
      <c r="J465" t="str">
        <f t="shared" ref="J465:J528" si="7">TEXT(D465,"mmm")</f>
        <v>Dec</v>
      </c>
    </row>
    <row r="466" spans="2:10" hidden="1" x14ac:dyDescent="0.25">
      <c r="B466">
        <v>10892</v>
      </c>
      <c r="C466" t="s">
        <v>178</v>
      </c>
      <c r="D466">
        <v>43148</v>
      </c>
      <c r="E466">
        <v>43176</v>
      </c>
      <c r="F466">
        <v>43150</v>
      </c>
      <c r="G466" t="s">
        <v>646</v>
      </c>
      <c r="H466">
        <v>601.35</v>
      </c>
      <c r="I466" t="s">
        <v>12</v>
      </c>
      <c r="J466" t="str">
        <f t="shared" si="7"/>
        <v>Feb</v>
      </c>
    </row>
    <row r="467" spans="2:10" hidden="1" x14ac:dyDescent="0.25">
      <c r="B467">
        <v>10896</v>
      </c>
      <c r="C467" t="s">
        <v>178</v>
      </c>
      <c r="D467">
        <v>43150</v>
      </c>
      <c r="E467">
        <v>43178</v>
      </c>
      <c r="F467">
        <v>43158</v>
      </c>
      <c r="G467" t="s">
        <v>647</v>
      </c>
      <c r="H467">
        <v>162.25</v>
      </c>
      <c r="I467" t="s">
        <v>12</v>
      </c>
      <c r="J467" t="str">
        <f t="shared" si="7"/>
        <v>Feb</v>
      </c>
    </row>
    <row r="468" spans="2:10" hidden="1" x14ac:dyDescent="0.25">
      <c r="B468">
        <v>10978</v>
      </c>
      <c r="C468" t="s">
        <v>178</v>
      </c>
      <c r="D468">
        <v>43185</v>
      </c>
      <c r="E468">
        <v>43213</v>
      </c>
      <c r="F468">
        <v>43213</v>
      </c>
      <c r="G468" t="s">
        <v>646</v>
      </c>
      <c r="H468">
        <v>164.1</v>
      </c>
      <c r="I468" t="s">
        <v>12</v>
      </c>
      <c r="J468" t="str">
        <f t="shared" si="7"/>
        <v>Mar</v>
      </c>
    </row>
    <row r="469" spans="2:10" hidden="1" x14ac:dyDescent="0.25">
      <c r="B469">
        <v>11004</v>
      </c>
      <c r="C469" t="s">
        <v>178</v>
      </c>
      <c r="D469">
        <v>43197</v>
      </c>
      <c r="E469">
        <v>43225</v>
      </c>
      <c r="F469">
        <v>43210</v>
      </c>
      <c r="G469" t="s">
        <v>645</v>
      </c>
      <c r="H469">
        <v>224.20000000000002</v>
      </c>
      <c r="I469" t="s">
        <v>12</v>
      </c>
      <c r="J469" t="str">
        <f t="shared" si="7"/>
        <v>Apr</v>
      </c>
    </row>
    <row r="470" spans="2:10" hidden="1" x14ac:dyDescent="0.25">
      <c r="B470">
        <v>10332</v>
      </c>
      <c r="C470" t="s">
        <v>181</v>
      </c>
      <c r="D470">
        <v>42660</v>
      </c>
      <c r="E470">
        <v>42702</v>
      </c>
      <c r="F470">
        <v>42664</v>
      </c>
      <c r="G470" t="s">
        <v>646</v>
      </c>
      <c r="H470">
        <v>264.20000000000005</v>
      </c>
      <c r="I470" t="s">
        <v>360</v>
      </c>
      <c r="J470" t="str">
        <f t="shared" si="7"/>
        <v>Oct</v>
      </c>
    </row>
    <row r="471" spans="2:10" hidden="1" x14ac:dyDescent="0.25">
      <c r="B471">
        <v>10339</v>
      </c>
      <c r="C471" t="s">
        <v>181</v>
      </c>
      <c r="D471">
        <v>42671</v>
      </c>
      <c r="E471">
        <v>42699</v>
      </c>
      <c r="F471">
        <v>42678</v>
      </c>
      <c r="G471" t="s">
        <v>646</v>
      </c>
      <c r="H471">
        <v>78.3</v>
      </c>
      <c r="I471" t="s">
        <v>360</v>
      </c>
      <c r="J471" t="str">
        <f t="shared" si="7"/>
        <v>Oct</v>
      </c>
    </row>
    <row r="472" spans="2:10" hidden="1" x14ac:dyDescent="0.25">
      <c r="B472">
        <v>10376</v>
      </c>
      <c r="C472" t="s">
        <v>181</v>
      </c>
      <c r="D472">
        <v>42713</v>
      </c>
      <c r="E472">
        <v>42741</v>
      </c>
      <c r="F472">
        <v>42717</v>
      </c>
      <c r="G472" t="s">
        <v>646</v>
      </c>
      <c r="H472">
        <v>101.95</v>
      </c>
      <c r="I472" t="s">
        <v>360</v>
      </c>
      <c r="J472" t="str">
        <f t="shared" si="7"/>
        <v>Dec</v>
      </c>
    </row>
    <row r="473" spans="2:10" hidden="1" x14ac:dyDescent="0.25">
      <c r="B473">
        <v>10424</v>
      </c>
      <c r="C473" t="s">
        <v>181</v>
      </c>
      <c r="D473">
        <v>42758</v>
      </c>
      <c r="E473">
        <v>42786</v>
      </c>
      <c r="F473">
        <v>42762</v>
      </c>
      <c r="G473" t="s">
        <v>646</v>
      </c>
      <c r="H473">
        <v>1853.0500000000002</v>
      </c>
      <c r="I473" t="s">
        <v>360</v>
      </c>
      <c r="J473" t="str">
        <f t="shared" si="7"/>
        <v>Jan</v>
      </c>
    </row>
    <row r="474" spans="2:10" hidden="1" x14ac:dyDescent="0.25">
      <c r="B474">
        <v>10439</v>
      </c>
      <c r="C474" t="s">
        <v>181</v>
      </c>
      <c r="D474">
        <v>42773</v>
      </c>
      <c r="E474">
        <v>42801</v>
      </c>
      <c r="F474">
        <v>42776</v>
      </c>
      <c r="G474" t="s">
        <v>647</v>
      </c>
      <c r="H474">
        <v>20.350000000000001</v>
      </c>
      <c r="I474" t="s">
        <v>360</v>
      </c>
      <c r="J474" t="str">
        <f t="shared" si="7"/>
        <v>Feb</v>
      </c>
    </row>
    <row r="475" spans="2:10" hidden="1" x14ac:dyDescent="0.25">
      <c r="B475">
        <v>10505</v>
      </c>
      <c r="C475" t="s">
        <v>181</v>
      </c>
      <c r="D475">
        <v>42839</v>
      </c>
      <c r="E475">
        <v>42867</v>
      </c>
      <c r="F475">
        <v>42846</v>
      </c>
      <c r="G475" t="s">
        <v>647</v>
      </c>
      <c r="H475">
        <v>35.65</v>
      </c>
      <c r="I475" t="s">
        <v>360</v>
      </c>
      <c r="J475" t="str">
        <f t="shared" si="7"/>
        <v>Apr</v>
      </c>
    </row>
    <row r="476" spans="2:10" hidden="1" x14ac:dyDescent="0.25">
      <c r="B476">
        <v>10565</v>
      </c>
      <c r="C476" t="s">
        <v>181</v>
      </c>
      <c r="D476">
        <v>42897</v>
      </c>
      <c r="E476">
        <v>42925</v>
      </c>
      <c r="F476">
        <v>42904</v>
      </c>
      <c r="G476" t="s">
        <v>646</v>
      </c>
      <c r="H476">
        <v>35.75</v>
      </c>
      <c r="I476" t="s">
        <v>360</v>
      </c>
      <c r="J476" t="str">
        <f t="shared" si="7"/>
        <v>Jun</v>
      </c>
    </row>
    <row r="477" spans="2:10" hidden="1" x14ac:dyDescent="0.25">
      <c r="B477">
        <v>10570</v>
      </c>
      <c r="C477" t="s">
        <v>181</v>
      </c>
      <c r="D477">
        <v>42903</v>
      </c>
      <c r="E477">
        <v>42931</v>
      </c>
      <c r="F477">
        <v>42905</v>
      </c>
      <c r="G477" t="s">
        <v>647</v>
      </c>
      <c r="H477">
        <v>944.95</v>
      </c>
      <c r="I477" t="s">
        <v>360</v>
      </c>
      <c r="J477" t="str">
        <f t="shared" si="7"/>
        <v>Jun</v>
      </c>
    </row>
    <row r="478" spans="2:10" hidden="1" x14ac:dyDescent="0.25">
      <c r="B478">
        <v>10590</v>
      </c>
      <c r="C478" t="s">
        <v>181</v>
      </c>
      <c r="D478">
        <v>42923</v>
      </c>
      <c r="E478">
        <v>42951</v>
      </c>
      <c r="F478">
        <v>42930</v>
      </c>
      <c r="G478" t="s">
        <v>647</v>
      </c>
      <c r="H478">
        <v>223.85000000000002</v>
      </c>
      <c r="I478" t="s">
        <v>360</v>
      </c>
      <c r="J478" t="str">
        <f t="shared" si="7"/>
        <v>Jul</v>
      </c>
    </row>
    <row r="479" spans="2:10" hidden="1" x14ac:dyDescent="0.25">
      <c r="B479">
        <v>10605</v>
      </c>
      <c r="C479" t="s">
        <v>181</v>
      </c>
      <c r="D479">
        <v>42937</v>
      </c>
      <c r="E479">
        <v>42965</v>
      </c>
      <c r="F479">
        <v>42945</v>
      </c>
      <c r="G479" t="s">
        <v>646</v>
      </c>
      <c r="H479">
        <v>1895.65</v>
      </c>
      <c r="I479" t="s">
        <v>360</v>
      </c>
      <c r="J479" t="str">
        <f t="shared" si="7"/>
        <v>Jul</v>
      </c>
    </row>
    <row r="480" spans="2:10" hidden="1" x14ac:dyDescent="0.25">
      <c r="B480">
        <v>10618</v>
      </c>
      <c r="C480" t="s">
        <v>181</v>
      </c>
      <c r="D480">
        <v>42948</v>
      </c>
      <c r="E480">
        <v>42990</v>
      </c>
      <c r="F480">
        <v>42955</v>
      </c>
      <c r="G480" t="s">
        <v>645</v>
      </c>
      <c r="H480">
        <v>773.40000000000009</v>
      </c>
      <c r="I480" t="s">
        <v>360</v>
      </c>
      <c r="J480" t="str">
        <f t="shared" si="7"/>
        <v>Aug</v>
      </c>
    </row>
    <row r="481" spans="2:10" hidden="1" x14ac:dyDescent="0.25">
      <c r="B481">
        <v>10619</v>
      </c>
      <c r="C481" t="s">
        <v>181</v>
      </c>
      <c r="D481">
        <v>42951</v>
      </c>
      <c r="E481">
        <v>42979</v>
      </c>
      <c r="F481">
        <v>42954</v>
      </c>
      <c r="G481" t="s">
        <v>647</v>
      </c>
      <c r="H481">
        <v>455.25</v>
      </c>
      <c r="I481" t="s">
        <v>360</v>
      </c>
      <c r="J481" t="str">
        <f t="shared" si="7"/>
        <v>Aug</v>
      </c>
    </row>
    <row r="482" spans="2:10" hidden="1" x14ac:dyDescent="0.25">
      <c r="B482">
        <v>10724</v>
      </c>
      <c r="C482" t="s">
        <v>181</v>
      </c>
      <c r="D482">
        <v>43038</v>
      </c>
      <c r="E482">
        <v>43080</v>
      </c>
      <c r="F482">
        <v>43044</v>
      </c>
      <c r="G482" t="s">
        <v>646</v>
      </c>
      <c r="H482">
        <v>288.75</v>
      </c>
      <c r="I482" t="s">
        <v>360</v>
      </c>
      <c r="J482" t="str">
        <f t="shared" si="7"/>
        <v>Oct</v>
      </c>
    </row>
    <row r="483" spans="2:10" hidden="1" x14ac:dyDescent="0.25">
      <c r="B483">
        <v>10277</v>
      </c>
      <c r="C483" t="s">
        <v>184</v>
      </c>
      <c r="D483">
        <v>42591</v>
      </c>
      <c r="E483">
        <v>42619</v>
      </c>
      <c r="F483">
        <v>42595</v>
      </c>
      <c r="G483" t="s">
        <v>647</v>
      </c>
      <c r="H483">
        <v>628.85</v>
      </c>
      <c r="I483" t="s">
        <v>361</v>
      </c>
      <c r="J483" t="str">
        <f t="shared" si="7"/>
        <v>Aug</v>
      </c>
    </row>
    <row r="484" spans="2:10" hidden="1" x14ac:dyDescent="0.25">
      <c r="B484">
        <v>10575</v>
      </c>
      <c r="C484" t="s">
        <v>184</v>
      </c>
      <c r="D484">
        <v>42906</v>
      </c>
      <c r="E484">
        <v>42920</v>
      </c>
      <c r="F484">
        <v>42916</v>
      </c>
      <c r="G484" t="s">
        <v>645</v>
      </c>
      <c r="H484">
        <v>636.70000000000005</v>
      </c>
      <c r="I484" t="s">
        <v>361</v>
      </c>
      <c r="J484" t="str">
        <f t="shared" si="7"/>
        <v>Jun</v>
      </c>
    </row>
    <row r="485" spans="2:10" hidden="1" x14ac:dyDescent="0.25">
      <c r="B485">
        <v>10699</v>
      </c>
      <c r="C485" t="s">
        <v>184</v>
      </c>
      <c r="D485">
        <v>43017</v>
      </c>
      <c r="E485">
        <v>43045</v>
      </c>
      <c r="F485">
        <v>43021</v>
      </c>
      <c r="G485" t="s">
        <v>647</v>
      </c>
      <c r="H485">
        <v>2.9</v>
      </c>
      <c r="I485" t="s">
        <v>361</v>
      </c>
      <c r="J485" t="str">
        <f t="shared" si="7"/>
        <v>Oct</v>
      </c>
    </row>
    <row r="486" spans="2:10" hidden="1" x14ac:dyDescent="0.25">
      <c r="B486">
        <v>10779</v>
      </c>
      <c r="C486" t="s">
        <v>184</v>
      </c>
      <c r="D486">
        <v>43085</v>
      </c>
      <c r="E486">
        <v>43113</v>
      </c>
      <c r="F486">
        <v>43114</v>
      </c>
      <c r="G486" t="s">
        <v>646</v>
      </c>
      <c r="H486">
        <v>290.65000000000003</v>
      </c>
      <c r="I486" t="s">
        <v>361</v>
      </c>
      <c r="J486" t="str">
        <f t="shared" si="7"/>
        <v>Dec</v>
      </c>
    </row>
    <row r="487" spans="2:10" hidden="1" x14ac:dyDescent="0.25">
      <c r="B487">
        <v>10945</v>
      </c>
      <c r="C487" t="s">
        <v>184</v>
      </c>
      <c r="D487">
        <v>43171</v>
      </c>
      <c r="E487">
        <v>43199</v>
      </c>
      <c r="F487">
        <v>43177</v>
      </c>
      <c r="G487" t="s">
        <v>645</v>
      </c>
      <c r="H487">
        <v>51.1</v>
      </c>
      <c r="I487" t="s">
        <v>361</v>
      </c>
      <c r="J487" t="str">
        <f t="shared" si="7"/>
        <v>Mar</v>
      </c>
    </row>
    <row r="488" spans="2:10" hidden="1" x14ac:dyDescent="0.25">
      <c r="B488">
        <v>10517</v>
      </c>
      <c r="C488" t="s">
        <v>186</v>
      </c>
      <c r="D488">
        <v>42849</v>
      </c>
      <c r="E488">
        <v>42877</v>
      </c>
      <c r="F488">
        <v>42854</v>
      </c>
      <c r="G488" t="s">
        <v>647</v>
      </c>
      <c r="H488">
        <v>160.35</v>
      </c>
      <c r="I488" t="s">
        <v>362</v>
      </c>
      <c r="J488" t="str">
        <f t="shared" si="7"/>
        <v>Apr</v>
      </c>
    </row>
    <row r="489" spans="2:10" hidden="1" x14ac:dyDescent="0.25">
      <c r="B489">
        <v>10752</v>
      </c>
      <c r="C489" t="s">
        <v>186</v>
      </c>
      <c r="D489">
        <v>43063</v>
      </c>
      <c r="E489">
        <v>43091</v>
      </c>
      <c r="F489">
        <v>43067</v>
      </c>
      <c r="G489" t="s">
        <v>647</v>
      </c>
      <c r="H489">
        <v>6.9499999999999993</v>
      </c>
      <c r="I489" t="s">
        <v>362</v>
      </c>
      <c r="J489" t="str">
        <f t="shared" si="7"/>
        <v>Nov</v>
      </c>
    </row>
    <row r="490" spans="2:10" hidden="1" x14ac:dyDescent="0.25">
      <c r="B490">
        <v>11057</v>
      </c>
      <c r="C490" t="s">
        <v>186</v>
      </c>
      <c r="D490">
        <v>43219</v>
      </c>
      <c r="E490">
        <v>43247</v>
      </c>
      <c r="F490">
        <v>43221</v>
      </c>
      <c r="G490" t="s">
        <v>647</v>
      </c>
      <c r="H490">
        <v>20.65</v>
      </c>
      <c r="I490" t="s">
        <v>362</v>
      </c>
      <c r="J490" t="str">
        <f t="shared" si="7"/>
        <v>Apr</v>
      </c>
    </row>
    <row r="491" spans="2:10" hidden="1" x14ac:dyDescent="0.25">
      <c r="B491">
        <v>10409</v>
      </c>
      <c r="C491" t="s">
        <v>189</v>
      </c>
      <c r="D491">
        <v>42744</v>
      </c>
      <c r="E491">
        <v>42772</v>
      </c>
      <c r="F491">
        <v>42749</v>
      </c>
      <c r="G491" t="s">
        <v>645</v>
      </c>
      <c r="H491">
        <v>149.14999999999998</v>
      </c>
      <c r="I491" t="s">
        <v>363</v>
      </c>
      <c r="J491" t="str">
        <f t="shared" si="7"/>
        <v>Jan</v>
      </c>
    </row>
    <row r="492" spans="2:10" hidden="1" x14ac:dyDescent="0.25">
      <c r="B492">
        <v>10531</v>
      </c>
      <c r="C492" t="s">
        <v>189</v>
      </c>
      <c r="D492">
        <v>42863</v>
      </c>
      <c r="E492">
        <v>42891</v>
      </c>
      <c r="F492">
        <v>42874</v>
      </c>
      <c r="G492" t="s">
        <v>645</v>
      </c>
      <c r="H492">
        <v>40.599999999999994</v>
      </c>
      <c r="I492" t="s">
        <v>363</v>
      </c>
      <c r="J492" t="str">
        <f t="shared" si="7"/>
        <v>May</v>
      </c>
    </row>
    <row r="493" spans="2:10" hidden="1" x14ac:dyDescent="0.25">
      <c r="B493">
        <v>10898</v>
      </c>
      <c r="C493" t="s">
        <v>189</v>
      </c>
      <c r="D493">
        <v>43151</v>
      </c>
      <c r="E493">
        <v>43179</v>
      </c>
      <c r="F493">
        <v>43165</v>
      </c>
      <c r="G493" t="s">
        <v>646</v>
      </c>
      <c r="H493">
        <v>6.35</v>
      </c>
      <c r="I493" t="s">
        <v>363</v>
      </c>
      <c r="J493" t="str">
        <f t="shared" si="7"/>
        <v>Feb</v>
      </c>
    </row>
    <row r="494" spans="2:10" hidden="1" x14ac:dyDescent="0.25">
      <c r="B494">
        <v>10958</v>
      </c>
      <c r="C494" t="s">
        <v>189</v>
      </c>
      <c r="D494">
        <v>43177</v>
      </c>
      <c r="E494">
        <v>43205</v>
      </c>
      <c r="F494">
        <v>43186</v>
      </c>
      <c r="G494" t="s">
        <v>646</v>
      </c>
      <c r="H494">
        <v>247.8</v>
      </c>
      <c r="I494" t="s">
        <v>363</v>
      </c>
      <c r="J494" t="str">
        <f t="shared" si="7"/>
        <v>Mar</v>
      </c>
    </row>
    <row r="495" spans="2:10" hidden="1" x14ac:dyDescent="0.25">
      <c r="B495">
        <v>10986</v>
      </c>
      <c r="C495" t="s">
        <v>189</v>
      </c>
      <c r="D495">
        <v>43189</v>
      </c>
      <c r="E495">
        <v>43217</v>
      </c>
      <c r="F495">
        <v>43211</v>
      </c>
      <c r="G495" t="s">
        <v>646</v>
      </c>
      <c r="H495">
        <v>1089.3000000000002</v>
      </c>
      <c r="I495" t="s">
        <v>363</v>
      </c>
      <c r="J495" t="str">
        <f t="shared" si="7"/>
        <v>Mar</v>
      </c>
    </row>
    <row r="496" spans="2:10" hidden="1" x14ac:dyDescent="0.25">
      <c r="B496">
        <v>10260</v>
      </c>
      <c r="C496" t="s">
        <v>192</v>
      </c>
      <c r="D496">
        <v>42570</v>
      </c>
      <c r="E496">
        <v>42598</v>
      </c>
      <c r="F496">
        <v>42580</v>
      </c>
      <c r="G496" t="s">
        <v>645</v>
      </c>
      <c r="H496">
        <v>275.45000000000005</v>
      </c>
      <c r="I496" t="s">
        <v>364</v>
      </c>
      <c r="J496" t="str">
        <f t="shared" si="7"/>
        <v>Jul</v>
      </c>
    </row>
    <row r="497" spans="2:10" hidden="1" x14ac:dyDescent="0.25">
      <c r="B497">
        <v>10305</v>
      </c>
      <c r="C497" t="s">
        <v>192</v>
      </c>
      <c r="D497">
        <v>42626</v>
      </c>
      <c r="E497">
        <v>42654</v>
      </c>
      <c r="F497">
        <v>42652</v>
      </c>
      <c r="G497" t="s">
        <v>647</v>
      </c>
      <c r="H497">
        <v>1288.0999999999999</v>
      </c>
      <c r="I497" t="s">
        <v>364</v>
      </c>
      <c r="J497" t="str">
        <f t="shared" si="7"/>
        <v>Sep</v>
      </c>
    </row>
    <row r="498" spans="2:10" hidden="1" x14ac:dyDescent="0.25">
      <c r="B498">
        <v>10338</v>
      </c>
      <c r="C498" t="s">
        <v>192</v>
      </c>
      <c r="D498">
        <v>42668</v>
      </c>
      <c r="E498">
        <v>42696</v>
      </c>
      <c r="F498">
        <v>42672</v>
      </c>
      <c r="G498" t="s">
        <v>647</v>
      </c>
      <c r="H498">
        <v>421.04999999999995</v>
      </c>
      <c r="I498" t="s">
        <v>364</v>
      </c>
      <c r="J498" t="str">
        <f t="shared" si="7"/>
        <v>Oct</v>
      </c>
    </row>
    <row r="499" spans="2:10" hidden="1" x14ac:dyDescent="0.25">
      <c r="B499">
        <v>10441</v>
      </c>
      <c r="C499" t="s">
        <v>192</v>
      </c>
      <c r="D499">
        <v>42776</v>
      </c>
      <c r="E499">
        <v>42818</v>
      </c>
      <c r="F499">
        <v>42808</v>
      </c>
      <c r="G499" t="s">
        <v>646</v>
      </c>
      <c r="H499">
        <v>365.09999999999997</v>
      </c>
      <c r="I499" t="s">
        <v>364</v>
      </c>
      <c r="J499" t="str">
        <f t="shared" si="7"/>
        <v>Feb</v>
      </c>
    </row>
    <row r="500" spans="2:10" hidden="1" x14ac:dyDescent="0.25">
      <c r="B500">
        <v>10594</v>
      </c>
      <c r="C500" t="s">
        <v>192</v>
      </c>
      <c r="D500">
        <v>42925</v>
      </c>
      <c r="E500">
        <v>42953</v>
      </c>
      <c r="F500">
        <v>42932</v>
      </c>
      <c r="G500" t="s">
        <v>646</v>
      </c>
      <c r="H500">
        <v>26.200000000000003</v>
      </c>
      <c r="I500" t="s">
        <v>364</v>
      </c>
      <c r="J500" t="str">
        <f t="shared" si="7"/>
        <v>Jul</v>
      </c>
    </row>
    <row r="501" spans="2:10" hidden="1" x14ac:dyDescent="0.25">
      <c r="B501">
        <v>10680</v>
      </c>
      <c r="C501" t="s">
        <v>192</v>
      </c>
      <c r="D501">
        <v>43002</v>
      </c>
      <c r="E501">
        <v>43030</v>
      </c>
      <c r="F501">
        <v>43004</v>
      </c>
      <c r="G501" t="s">
        <v>645</v>
      </c>
      <c r="H501">
        <v>133.05000000000001</v>
      </c>
      <c r="I501" t="s">
        <v>364</v>
      </c>
      <c r="J501" t="str">
        <f t="shared" si="7"/>
        <v>Sep</v>
      </c>
    </row>
    <row r="502" spans="2:10" hidden="1" x14ac:dyDescent="0.25">
      <c r="B502">
        <v>10706</v>
      </c>
      <c r="C502" t="s">
        <v>192</v>
      </c>
      <c r="D502">
        <v>43024</v>
      </c>
      <c r="E502">
        <v>43052</v>
      </c>
      <c r="F502">
        <v>43029</v>
      </c>
      <c r="G502" t="s">
        <v>647</v>
      </c>
      <c r="H502">
        <v>678.15</v>
      </c>
      <c r="I502" t="s">
        <v>364</v>
      </c>
      <c r="J502" t="str">
        <f t="shared" si="7"/>
        <v>Oct</v>
      </c>
    </row>
    <row r="503" spans="2:10" hidden="1" x14ac:dyDescent="0.25">
      <c r="B503">
        <v>10855</v>
      </c>
      <c r="C503" t="s">
        <v>192</v>
      </c>
      <c r="D503">
        <v>43127</v>
      </c>
      <c r="E503">
        <v>43155</v>
      </c>
      <c r="F503">
        <v>43135</v>
      </c>
      <c r="G503" t="s">
        <v>645</v>
      </c>
      <c r="H503">
        <v>854.85</v>
      </c>
      <c r="I503" t="s">
        <v>364</v>
      </c>
      <c r="J503" t="str">
        <f t="shared" si="7"/>
        <v>Jan</v>
      </c>
    </row>
    <row r="504" spans="2:10" hidden="1" x14ac:dyDescent="0.25">
      <c r="B504">
        <v>10965</v>
      </c>
      <c r="C504" t="s">
        <v>192</v>
      </c>
      <c r="D504">
        <v>43179</v>
      </c>
      <c r="E504">
        <v>43207</v>
      </c>
      <c r="F504">
        <v>43189</v>
      </c>
      <c r="G504" t="s">
        <v>647</v>
      </c>
      <c r="H504">
        <v>721.9</v>
      </c>
      <c r="I504" t="s">
        <v>364</v>
      </c>
      <c r="J504" t="str">
        <f t="shared" si="7"/>
        <v>Mar</v>
      </c>
    </row>
    <row r="505" spans="2:10" hidden="1" x14ac:dyDescent="0.25">
      <c r="B505">
        <v>11034</v>
      </c>
      <c r="C505" t="s">
        <v>192</v>
      </c>
      <c r="D505">
        <v>43210</v>
      </c>
      <c r="E505">
        <v>43252</v>
      </c>
      <c r="F505">
        <v>43217</v>
      </c>
      <c r="G505" t="s">
        <v>645</v>
      </c>
      <c r="H505">
        <v>201.6</v>
      </c>
      <c r="I505" t="s">
        <v>364</v>
      </c>
      <c r="J505" t="str">
        <f t="shared" si="7"/>
        <v>Apr</v>
      </c>
    </row>
    <row r="506" spans="2:10" hidden="1" x14ac:dyDescent="0.25">
      <c r="B506">
        <v>10407</v>
      </c>
      <c r="C506" t="s">
        <v>196</v>
      </c>
      <c r="D506">
        <v>42742</v>
      </c>
      <c r="E506">
        <v>42770</v>
      </c>
      <c r="F506">
        <v>42765</v>
      </c>
      <c r="G506" t="s">
        <v>646</v>
      </c>
      <c r="H506">
        <v>457.40000000000003</v>
      </c>
      <c r="I506" t="s">
        <v>365</v>
      </c>
      <c r="J506" t="str">
        <f t="shared" si="7"/>
        <v>Jan</v>
      </c>
    </row>
    <row r="507" spans="2:10" hidden="1" x14ac:dyDescent="0.25">
      <c r="B507">
        <v>10508</v>
      </c>
      <c r="C507" t="s">
        <v>196</v>
      </c>
      <c r="D507">
        <v>42841</v>
      </c>
      <c r="E507">
        <v>42869</v>
      </c>
      <c r="F507">
        <v>42868</v>
      </c>
      <c r="G507" t="s">
        <v>646</v>
      </c>
      <c r="H507">
        <v>24.950000000000003</v>
      </c>
      <c r="I507" t="s">
        <v>365</v>
      </c>
      <c r="J507" t="str">
        <f t="shared" si="7"/>
        <v>Apr</v>
      </c>
    </row>
    <row r="508" spans="2:10" hidden="1" x14ac:dyDescent="0.25">
      <c r="B508">
        <v>10554</v>
      </c>
      <c r="C508" t="s">
        <v>196</v>
      </c>
      <c r="D508">
        <v>42885</v>
      </c>
      <c r="E508">
        <v>42913</v>
      </c>
      <c r="F508">
        <v>42891</v>
      </c>
      <c r="G508" t="s">
        <v>647</v>
      </c>
      <c r="H508">
        <v>604.85</v>
      </c>
      <c r="I508" t="s">
        <v>365</v>
      </c>
      <c r="J508" t="str">
        <f t="shared" si="7"/>
        <v>May</v>
      </c>
    </row>
    <row r="509" spans="2:10" hidden="1" x14ac:dyDescent="0.25">
      <c r="B509">
        <v>10580</v>
      </c>
      <c r="C509" t="s">
        <v>196</v>
      </c>
      <c r="D509">
        <v>42912</v>
      </c>
      <c r="E509">
        <v>42940</v>
      </c>
      <c r="F509">
        <v>42917</v>
      </c>
      <c r="G509" t="s">
        <v>647</v>
      </c>
      <c r="H509">
        <v>379.45</v>
      </c>
      <c r="I509" t="s">
        <v>365</v>
      </c>
      <c r="J509" t="str">
        <f t="shared" si="7"/>
        <v>Jun</v>
      </c>
    </row>
    <row r="510" spans="2:10" hidden="1" x14ac:dyDescent="0.25">
      <c r="B510">
        <v>10684</v>
      </c>
      <c r="C510" t="s">
        <v>196</v>
      </c>
      <c r="D510">
        <v>43004</v>
      </c>
      <c r="E510">
        <v>43032</v>
      </c>
      <c r="F510">
        <v>43008</v>
      </c>
      <c r="G510" t="s">
        <v>645</v>
      </c>
      <c r="H510">
        <v>728.15</v>
      </c>
      <c r="I510" t="s">
        <v>365</v>
      </c>
      <c r="J510" t="str">
        <f t="shared" si="7"/>
        <v>Sep</v>
      </c>
    </row>
    <row r="511" spans="2:10" hidden="1" x14ac:dyDescent="0.25">
      <c r="B511">
        <v>10766</v>
      </c>
      <c r="C511" t="s">
        <v>196</v>
      </c>
      <c r="D511">
        <v>43074</v>
      </c>
      <c r="E511">
        <v>43102</v>
      </c>
      <c r="F511">
        <v>43078</v>
      </c>
      <c r="G511" t="s">
        <v>645</v>
      </c>
      <c r="H511">
        <v>787.75</v>
      </c>
      <c r="I511" t="s">
        <v>365</v>
      </c>
      <c r="J511" t="str">
        <f t="shared" si="7"/>
        <v>Dec</v>
      </c>
    </row>
    <row r="512" spans="2:10" hidden="1" x14ac:dyDescent="0.25">
      <c r="B512">
        <v>10833</v>
      </c>
      <c r="C512" t="s">
        <v>196</v>
      </c>
      <c r="D512">
        <v>43115</v>
      </c>
      <c r="E512">
        <v>43143</v>
      </c>
      <c r="F512">
        <v>43123</v>
      </c>
      <c r="G512" t="s">
        <v>646</v>
      </c>
      <c r="H512">
        <v>357.45</v>
      </c>
      <c r="I512" t="s">
        <v>365</v>
      </c>
      <c r="J512" t="str">
        <f t="shared" si="7"/>
        <v>Jan</v>
      </c>
    </row>
    <row r="513" spans="2:10" hidden="1" x14ac:dyDescent="0.25">
      <c r="B513">
        <v>10999</v>
      </c>
      <c r="C513" t="s">
        <v>196</v>
      </c>
      <c r="D513">
        <v>43193</v>
      </c>
      <c r="E513">
        <v>43221</v>
      </c>
      <c r="F513">
        <v>43200</v>
      </c>
      <c r="G513" t="s">
        <v>646</v>
      </c>
      <c r="H513">
        <v>481.75</v>
      </c>
      <c r="I513" t="s">
        <v>365</v>
      </c>
      <c r="J513" t="str">
        <f t="shared" si="7"/>
        <v>Apr</v>
      </c>
    </row>
    <row r="514" spans="2:10" hidden="1" x14ac:dyDescent="0.25">
      <c r="B514">
        <v>11020</v>
      </c>
      <c r="C514" t="s">
        <v>196</v>
      </c>
      <c r="D514">
        <v>43204</v>
      </c>
      <c r="E514">
        <v>43232</v>
      </c>
      <c r="F514">
        <v>43206</v>
      </c>
      <c r="G514" t="s">
        <v>646</v>
      </c>
      <c r="H514">
        <v>216.5</v>
      </c>
      <c r="I514" t="s">
        <v>365</v>
      </c>
      <c r="J514" t="str">
        <f t="shared" si="7"/>
        <v>Apr</v>
      </c>
    </row>
    <row r="515" spans="2:10" hidden="1" x14ac:dyDescent="0.25">
      <c r="B515">
        <v>10322</v>
      </c>
      <c r="C515" t="s">
        <v>202</v>
      </c>
      <c r="D515">
        <v>42647</v>
      </c>
      <c r="E515">
        <v>42675</v>
      </c>
      <c r="F515">
        <v>42666</v>
      </c>
      <c r="G515" t="s">
        <v>647</v>
      </c>
      <c r="H515">
        <v>2</v>
      </c>
      <c r="I515" t="s">
        <v>11</v>
      </c>
      <c r="J515" t="str">
        <f t="shared" si="7"/>
        <v>Oct</v>
      </c>
    </row>
    <row r="516" spans="2:10" hidden="1" x14ac:dyDescent="0.25">
      <c r="B516">
        <v>10354</v>
      </c>
      <c r="C516" t="s">
        <v>202</v>
      </c>
      <c r="D516">
        <v>42688</v>
      </c>
      <c r="E516">
        <v>42716</v>
      </c>
      <c r="F516">
        <v>42694</v>
      </c>
      <c r="G516" t="s">
        <v>647</v>
      </c>
      <c r="H516">
        <v>269</v>
      </c>
      <c r="I516" t="s">
        <v>11</v>
      </c>
      <c r="J516" t="str">
        <f t="shared" si="7"/>
        <v>Nov</v>
      </c>
    </row>
    <row r="517" spans="2:10" hidden="1" x14ac:dyDescent="0.25">
      <c r="B517">
        <v>10474</v>
      </c>
      <c r="C517" t="s">
        <v>202</v>
      </c>
      <c r="D517">
        <v>42807</v>
      </c>
      <c r="E517">
        <v>42835</v>
      </c>
      <c r="F517">
        <v>42815</v>
      </c>
      <c r="G517" t="s">
        <v>646</v>
      </c>
      <c r="H517">
        <v>417.45</v>
      </c>
      <c r="I517" t="s">
        <v>11</v>
      </c>
      <c r="J517" t="str">
        <f t="shared" si="7"/>
        <v>Mar</v>
      </c>
    </row>
    <row r="518" spans="2:10" hidden="1" x14ac:dyDescent="0.25">
      <c r="B518">
        <v>10502</v>
      </c>
      <c r="C518" t="s">
        <v>202</v>
      </c>
      <c r="D518">
        <v>42835</v>
      </c>
      <c r="E518">
        <v>42863</v>
      </c>
      <c r="F518">
        <v>42854</v>
      </c>
      <c r="G518" t="s">
        <v>645</v>
      </c>
      <c r="H518">
        <v>346.59999999999997</v>
      </c>
      <c r="I518" t="s">
        <v>11</v>
      </c>
      <c r="J518" t="str">
        <f t="shared" si="7"/>
        <v>Apr</v>
      </c>
    </row>
    <row r="519" spans="2:10" hidden="1" x14ac:dyDescent="0.25">
      <c r="B519">
        <v>10995</v>
      </c>
      <c r="C519" t="s">
        <v>202</v>
      </c>
      <c r="D519">
        <v>43192</v>
      </c>
      <c r="E519">
        <v>43220</v>
      </c>
      <c r="F519">
        <v>43196</v>
      </c>
      <c r="G519" t="s">
        <v>647</v>
      </c>
      <c r="H519">
        <v>230</v>
      </c>
      <c r="I519" t="s">
        <v>11</v>
      </c>
      <c r="J519" t="str">
        <f t="shared" si="7"/>
        <v>Apr</v>
      </c>
    </row>
    <row r="520" spans="2:10" hidden="1" x14ac:dyDescent="0.25">
      <c r="B520">
        <v>11073</v>
      </c>
      <c r="C520" t="s">
        <v>202</v>
      </c>
      <c r="D520">
        <v>43225</v>
      </c>
      <c r="E520">
        <v>43253</v>
      </c>
      <c r="F520"/>
      <c r="G520" t="s">
        <v>646</v>
      </c>
      <c r="H520">
        <v>124.75</v>
      </c>
      <c r="I520" t="s">
        <v>11</v>
      </c>
      <c r="J520" t="str">
        <f t="shared" si="7"/>
        <v>May</v>
      </c>
    </row>
    <row r="521" spans="2:10" hidden="1" x14ac:dyDescent="0.25">
      <c r="B521">
        <v>10353</v>
      </c>
      <c r="C521" t="s">
        <v>205</v>
      </c>
      <c r="D521">
        <v>42687</v>
      </c>
      <c r="E521">
        <v>42715</v>
      </c>
      <c r="F521">
        <v>42699</v>
      </c>
      <c r="G521" t="s">
        <v>647</v>
      </c>
      <c r="H521">
        <v>1803.15</v>
      </c>
      <c r="I521" t="s">
        <v>367</v>
      </c>
      <c r="J521" t="str">
        <f t="shared" si="7"/>
        <v>Nov</v>
      </c>
    </row>
    <row r="522" spans="2:10" hidden="1" x14ac:dyDescent="0.25">
      <c r="B522">
        <v>10392</v>
      </c>
      <c r="C522" t="s">
        <v>205</v>
      </c>
      <c r="D522">
        <v>42728</v>
      </c>
      <c r="E522">
        <v>42756</v>
      </c>
      <c r="F522">
        <v>42736</v>
      </c>
      <c r="G522" t="s">
        <v>647</v>
      </c>
      <c r="H522">
        <v>612.29999999999995</v>
      </c>
      <c r="I522" t="s">
        <v>367</v>
      </c>
      <c r="J522" t="str">
        <f t="shared" si="7"/>
        <v>Dec</v>
      </c>
    </row>
    <row r="523" spans="2:10" hidden="1" x14ac:dyDescent="0.25">
      <c r="B523">
        <v>10427</v>
      </c>
      <c r="C523" t="s">
        <v>205</v>
      </c>
      <c r="D523">
        <v>42762</v>
      </c>
      <c r="E523">
        <v>42790</v>
      </c>
      <c r="F523">
        <v>42797</v>
      </c>
      <c r="G523" t="s">
        <v>646</v>
      </c>
      <c r="H523">
        <v>156.44999999999999</v>
      </c>
      <c r="I523" t="s">
        <v>367</v>
      </c>
      <c r="J523" t="str">
        <f t="shared" si="7"/>
        <v>Jan</v>
      </c>
    </row>
    <row r="524" spans="2:10" hidden="1" x14ac:dyDescent="0.25">
      <c r="B524">
        <v>10489</v>
      </c>
      <c r="C524" t="s">
        <v>205</v>
      </c>
      <c r="D524">
        <v>42822</v>
      </c>
      <c r="E524">
        <v>42850</v>
      </c>
      <c r="F524">
        <v>42834</v>
      </c>
      <c r="G524" t="s">
        <v>646</v>
      </c>
      <c r="H524">
        <v>26.45</v>
      </c>
      <c r="I524" t="s">
        <v>367</v>
      </c>
      <c r="J524" t="str">
        <f t="shared" si="7"/>
        <v>Mar</v>
      </c>
    </row>
    <row r="525" spans="2:10" hidden="1" x14ac:dyDescent="0.25">
      <c r="B525">
        <v>10530</v>
      </c>
      <c r="C525" t="s">
        <v>205</v>
      </c>
      <c r="D525">
        <v>42863</v>
      </c>
      <c r="E525">
        <v>42891</v>
      </c>
      <c r="F525">
        <v>42867</v>
      </c>
      <c r="G525" t="s">
        <v>646</v>
      </c>
      <c r="H525">
        <v>1696.1000000000001</v>
      </c>
      <c r="I525" t="s">
        <v>367</v>
      </c>
      <c r="J525" t="str">
        <f t="shared" si="7"/>
        <v>May</v>
      </c>
    </row>
    <row r="526" spans="2:10" hidden="1" x14ac:dyDescent="0.25">
      <c r="B526">
        <v>10597</v>
      </c>
      <c r="C526" t="s">
        <v>205</v>
      </c>
      <c r="D526">
        <v>42927</v>
      </c>
      <c r="E526">
        <v>42955</v>
      </c>
      <c r="F526">
        <v>42934</v>
      </c>
      <c r="G526" t="s">
        <v>647</v>
      </c>
      <c r="H526">
        <v>175.6</v>
      </c>
      <c r="I526" t="s">
        <v>367</v>
      </c>
      <c r="J526" t="str">
        <f t="shared" si="7"/>
        <v>Jul</v>
      </c>
    </row>
    <row r="527" spans="2:10" hidden="1" x14ac:dyDescent="0.25">
      <c r="B527">
        <v>10686</v>
      </c>
      <c r="C527" t="s">
        <v>205</v>
      </c>
      <c r="D527">
        <v>43008</v>
      </c>
      <c r="E527">
        <v>43036</v>
      </c>
      <c r="F527">
        <v>43016</v>
      </c>
      <c r="G527" t="s">
        <v>645</v>
      </c>
      <c r="H527">
        <v>482.5</v>
      </c>
      <c r="I527" t="s">
        <v>367</v>
      </c>
      <c r="J527" t="str">
        <f t="shared" si="7"/>
        <v>Sep</v>
      </c>
    </row>
    <row r="528" spans="2:10" hidden="1" x14ac:dyDescent="0.25">
      <c r="B528">
        <v>10747</v>
      </c>
      <c r="C528" t="s">
        <v>205</v>
      </c>
      <c r="D528">
        <v>43058</v>
      </c>
      <c r="E528">
        <v>43086</v>
      </c>
      <c r="F528">
        <v>43065</v>
      </c>
      <c r="G528" t="s">
        <v>645</v>
      </c>
      <c r="H528">
        <v>586.65</v>
      </c>
      <c r="I528" t="s">
        <v>367</v>
      </c>
      <c r="J528" t="str">
        <f t="shared" si="7"/>
        <v>Nov</v>
      </c>
    </row>
    <row r="529" spans="2:10" hidden="1" x14ac:dyDescent="0.25">
      <c r="B529">
        <v>10844</v>
      </c>
      <c r="C529" t="s">
        <v>205</v>
      </c>
      <c r="D529">
        <v>43121</v>
      </c>
      <c r="E529">
        <v>43149</v>
      </c>
      <c r="F529">
        <v>43126</v>
      </c>
      <c r="G529" t="s">
        <v>646</v>
      </c>
      <c r="H529">
        <v>126.1</v>
      </c>
      <c r="I529" t="s">
        <v>367</v>
      </c>
      <c r="J529" t="str">
        <f t="shared" ref="J529:J592" si="8">TEXT(D529,"mmm")</f>
        <v>Jan</v>
      </c>
    </row>
    <row r="530" spans="2:10" hidden="1" x14ac:dyDescent="0.25">
      <c r="B530">
        <v>11053</v>
      </c>
      <c r="C530" t="s">
        <v>205</v>
      </c>
      <c r="D530">
        <v>43217</v>
      </c>
      <c r="E530">
        <v>43245</v>
      </c>
      <c r="F530">
        <v>43219</v>
      </c>
      <c r="G530" t="s">
        <v>646</v>
      </c>
      <c r="H530">
        <v>265.25</v>
      </c>
      <c r="I530" t="s">
        <v>367</v>
      </c>
      <c r="J530" t="str">
        <f t="shared" si="8"/>
        <v>Apr</v>
      </c>
    </row>
    <row r="531" spans="2:10" hidden="1" x14ac:dyDescent="0.25">
      <c r="B531">
        <v>10336</v>
      </c>
      <c r="C531" t="s">
        <v>208</v>
      </c>
      <c r="D531">
        <v>42666</v>
      </c>
      <c r="E531">
        <v>42694</v>
      </c>
      <c r="F531">
        <v>42668</v>
      </c>
      <c r="G531" t="s">
        <v>646</v>
      </c>
      <c r="H531">
        <v>77.55</v>
      </c>
      <c r="I531" t="s">
        <v>368</v>
      </c>
      <c r="J531" t="str">
        <f t="shared" si="8"/>
        <v>Oct</v>
      </c>
    </row>
    <row r="532" spans="2:10" hidden="1" x14ac:dyDescent="0.25">
      <c r="B532">
        <v>10397</v>
      </c>
      <c r="C532" t="s">
        <v>208</v>
      </c>
      <c r="D532">
        <v>42731</v>
      </c>
      <c r="E532">
        <v>42759</v>
      </c>
      <c r="F532">
        <v>42737</v>
      </c>
      <c r="G532" t="s">
        <v>645</v>
      </c>
      <c r="H532">
        <v>301.3</v>
      </c>
      <c r="I532" t="s">
        <v>368</v>
      </c>
      <c r="J532" t="str">
        <f t="shared" si="8"/>
        <v>Dec</v>
      </c>
    </row>
    <row r="533" spans="2:10" hidden="1" x14ac:dyDescent="0.25">
      <c r="B533">
        <v>10433</v>
      </c>
      <c r="C533" t="s">
        <v>208</v>
      </c>
      <c r="D533">
        <v>42769</v>
      </c>
      <c r="E533">
        <v>42797</v>
      </c>
      <c r="F533">
        <v>42798</v>
      </c>
      <c r="G533" t="s">
        <v>647</v>
      </c>
      <c r="H533">
        <v>369.15</v>
      </c>
      <c r="I533" t="s">
        <v>368</v>
      </c>
      <c r="J533" t="str">
        <f t="shared" si="8"/>
        <v>Feb</v>
      </c>
    </row>
    <row r="534" spans="2:10" hidden="1" x14ac:dyDescent="0.25">
      <c r="B534">
        <v>10477</v>
      </c>
      <c r="C534" t="s">
        <v>208</v>
      </c>
      <c r="D534">
        <v>42811</v>
      </c>
      <c r="E534">
        <v>42839</v>
      </c>
      <c r="F534">
        <v>42819</v>
      </c>
      <c r="G534" t="s">
        <v>646</v>
      </c>
      <c r="H534">
        <v>65.099999999999994</v>
      </c>
      <c r="I534" t="s">
        <v>368</v>
      </c>
      <c r="J534" t="str">
        <f t="shared" si="8"/>
        <v>Mar</v>
      </c>
    </row>
    <row r="535" spans="2:10" hidden="1" x14ac:dyDescent="0.25">
      <c r="B535">
        <v>10808</v>
      </c>
      <c r="C535" t="s">
        <v>208</v>
      </c>
      <c r="D535">
        <v>43101</v>
      </c>
      <c r="E535">
        <v>43129</v>
      </c>
      <c r="F535">
        <v>43109</v>
      </c>
      <c r="G535" t="s">
        <v>647</v>
      </c>
      <c r="H535">
        <v>227.65</v>
      </c>
      <c r="I535" t="s">
        <v>368</v>
      </c>
      <c r="J535" t="str">
        <f t="shared" si="8"/>
        <v>Jan</v>
      </c>
    </row>
    <row r="536" spans="2:10" hidden="1" x14ac:dyDescent="0.25">
      <c r="B536">
        <v>11007</v>
      </c>
      <c r="C536" t="s">
        <v>208</v>
      </c>
      <c r="D536">
        <v>43198</v>
      </c>
      <c r="E536">
        <v>43226</v>
      </c>
      <c r="F536">
        <v>43203</v>
      </c>
      <c r="G536" t="s">
        <v>646</v>
      </c>
      <c r="H536">
        <v>1011.2</v>
      </c>
      <c r="I536" t="s">
        <v>368</v>
      </c>
      <c r="J536" t="str">
        <f t="shared" si="8"/>
        <v>Apr</v>
      </c>
    </row>
    <row r="537" spans="2:10" hidden="1" x14ac:dyDescent="0.25">
      <c r="B537">
        <v>10261</v>
      </c>
      <c r="C537" t="s">
        <v>210</v>
      </c>
      <c r="D537">
        <v>42570</v>
      </c>
      <c r="E537">
        <v>42598</v>
      </c>
      <c r="F537">
        <v>42581</v>
      </c>
      <c r="G537" t="s">
        <v>646</v>
      </c>
      <c r="H537">
        <v>15.25</v>
      </c>
      <c r="I537" t="s">
        <v>369</v>
      </c>
      <c r="J537" t="str">
        <f t="shared" si="8"/>
        <v>Jul</v>
      </c>
    </row>
    <row r="538" spans="2:10" hidden="1" x14ac:dyDescent="0.25">
      <c r="B538">
        <v>10291</v>
      </c>
      <c r="C538" t="s">
        <v>210</v>
      </c>
      <c r="D538">
        <v>42609</v>
      </c>
      <c r="E538">
        <v>42637</v>
      </c>
      <c r="F538">
        <v>42617</v>
      </c>
      <c r="G538" t="s">
        <v>646</v>
      </c>
      <c r="H538">
        <v>32</v>
      </c>
      <c r="I538" t="s">
        <v>369</v>
      </c>
      <c r="J538" t="str">
        <f t="shared" si="8"/>
        <v>Aug</v>
      </c>
    </row>
    <row r="539" spans="2:10" hidden="1" x14ac:dyDescent="0.25">
      <c r="B539">
        <v>10379</v>
      </c>
      <c r="C539" t="s">
        <v>210</v>
      </c>
      <c r="D539">
        <v>42715</v>
      </c>
      <c r="E539">
        <v>42743</v>
      </c>
      <c r="F539">
        <v>42717</v>
      </c>
      <c r="G539" t="s">
        <v>645</v>
      </c>
      <c r="H539">
        <v>225.15</v>
      </c>
      <c r="I539" t="s">
        <v>369</v>
      </c>
      <c r="J539" t="str">
        <f t="shared" si="8"/>
        <v>Dec</v>
      </c>
    </row>
    <row r="540" spans="2:10" hidden="1" x14ac:dyDescent="0.25">
      <c r="B540">
        <v>10421</v>
      </c>
      <c r="C540" t="s">
        <v>210</v>
      </c>
      <c r="D540">
        <v>42756</v>
      </c>
      <c r="E540">
        <v>42798</v>
      </c>
      <c r="F540">
        <v>42762</v>
      </c>
      <c r="G540" t="s">
        <v>645</v>
      </c>
      <c r="H540">
        <v>496.15000000000003</v>
      </c>
      <c r="I540" t="s">
        <v>369</v>
      </c>
      <c r="J540" t="str">
        <f t="shared" si="8"/>
        <v>Jan</v>
      </c>
    </row>
    <row r="541" spans="2:10" hidden="1" x14ac:dyDescent="0.25">
      <c r="B541">
        <v>10587</v>
      </c>
      <c r="C541" t="s">
        <v>210</v>
      </c>
      <c r="D541">
        <v>42918</v>
      </c>
      <c r="E541">
        <v>42946</v>
      </c>
      <c r="F541">
        <v>42925</v>
      </c>
      <c r="G541" t="s">
        <v>645</v>
      </c>
      <c r="H541">
        <v>312.60000000000002</v>
      </c>
      <c r="I541" t="s">
        <v>369</v>
      </c>
      <c r="J541" t="str">
        <f t="shared" si="8"/>
        <v>Jul</v>
      </c>
    </row>
    <row r="542" spans="2:10" hidden="1" x14ac:dyDescent="0.25">
      <c r="B542">
        <v>10647</v>
      </c>
      <c r="C542" t="s">
        <v>210</v>
      </c>
      <c r="D542">
        <v>42974</v>
      </c>
      <c r="E542">
        <v>42988</v>
      </c>
      <c r="F542">
        <v>42981</v>
      </c>
      <c r="G542" t="s">
        <v>646</v>
      </c>
      <c r="H542">
        <v>227.7</v>
      </c>
      <c r="I542" t="s">
        <v>369</v>
      </c>
      <c r="J542" t="str">
        <f t="shared" si="8"/>
        <v>Aug</v>
      </c>
    </row>
    <row r="543" spans="2:10" hidden="1" x14ac:dyDescent="0.25">
      <c r="B543">
        <v>10720</v>
      </c>
      <c r="C543" t="s">
        <v>210</v>
      </c>
      <c r="D543">
        <v>43036</v>
      </c>
      <c r="E543">
        <v>43050</v>
      </c>
      <c r="F543">
        <v>43044</v>
      </c>
      <c r="G543" t="s">
        <v>646</v>
      </c>
      <c r="H543">
        <v>47.65</v>
      </c>
      <c r="I543" t="s">
        <v>369</v>
      </c>
      <c r="J543" t="str">
        <f t="shared" si="8"/>
        <v>Oct</v>
      </c>
    </row>
    <row r="544" spans="2:10" hidden="1" x14ac:dyDescent="0.25">
      <c r="B544">
        <v>10794</v>
      </c>
      <c r="C544" t="s">
        <v>210</v>
      </c>
      <c r="D544">
        <v>43093</v>
      </c>
      <c r="E544">
        <v>43121</v>
      </c>
      <c r="F544">
        <v>43102</v>
      </c>
      <c r="G544" t="s">
        <v>645</v>
      </c>
      <c r="H544">
        <v>107.44999999999999</v>
      </c>
      <c r="I544" t="s">
        <v>369</v>
      </c>
      <c r="J544" t="str">
        <f t="shared" si="8"/>
        <v>Dec</v>
      </c>
    </row>
    <row r="545" spans="2:10" hidden="1" x14ac:dyDescent="0.25">
      <c r="B545">
        <v>10989</v>
      </c>
      <c r="C545" t="s">
        <v>210</v>
      </c>
      <c r="D545">
        <v>43190</v>
      </c>
      <c r="E545">
        <v>43218</v>
      </c>
      <c r="F545">
        <v>43192</v>
      </c>
      <c r="G545" t="s">
        <v>645</v>
      </c>
      <c r="H545">
        <v>173.79999999999998</v>
      </c>
      <c r="I545" t="s">
        <v>369</v>
      </c>
      <c r="J545" t="str">
        <f t="shared" si="8"/>
        <v>Mar</v>
      </c>
    </row>
    <row r="546" spans="2:10" hidden="1" x14ac:dyDescent="0.25">
      <c r="B546">
        <v>10372</v>
      </c>
      <c r="C546" t="s">
        <v>213</v>
      </c>
      <c r="D546">
        <v>42708</v>
      </c>
      <c r="E546">
        <v>42736</v>
      </c>
      <c r="F546">
        <v>42713</v>
      </c>
      <c r="G546" t="s">
        <v>646</v>
      </c>
      <c r="H546">
        <v>4453.8999999999996</v>
      </c>
      <c r="I546" t="s">
        <v>370</v>
      </c>
      <c r="J546" t="str">
        <f t="shared" si="8"/>
        <v>Dec</v>
      </c>
    </row>
    <row r="547" spans="2:10" hidden="1" x14ac:dyDescent="0.25">
      <c r="B547">
        <v>10406</v>
      </c>
      <c r="C547" t="s">
        <v>213</v>
      </c>
      <c r="D547">
        <v>42742</v>
      </c>
      <c r="E547">
        <v>42784</v>
      </c>
      <c r="F547">
        <v>42748</v>
      </c>
      <c r="G547" t="s">
        <v>645</v>
      </c>
      <c r="H547">
        <v>540.20000000000005</v>
      </c>
      <c r="I547" t="s">
        <v>370</v>
      </c>
      <c r="J547" t="str">
        <f t="shared" si="8"/>
        <v>Jan</v>
      </c>
    </row>
    <row r="548" spans="2:10" hidden="1" x14ac:dyDescent="0.25">
      <c r="B548">
        <v>10487</v>
      </c>
      <c r="C548" t="s">
        <v>213</v>
      </c>
      <c r="D548">
        <v>42820</v>
      </c>
      <c r="E548">
        <v>42848</v>
      </c>
      <c r="F548">
        <v>42822</v>
      </c>
      <c r="G548" t="s">
        <v>646</v>
      </c>
      <c r="H548">
        <v>355.34999999999997</v>
      </c>
      <c r="I548" t="s">
        <v>370</v>
      </c>
      <c r="J548" t="str">
        <f t="shared" si="8"/>
        <v>Mar</v>
      </c>
    </row>
    <row r="549" spans="2:10" hidden="1" x14ac:dyDescent="0.25">
      <c r="B549">
        <v>10637</v>
      </c>
      <c r="C549" t="s">
        <v>213</v>
      </c>
      <c r="D549">
        <v>42966</v>
      </c>
      <c r="E549">
        <v>42994</v>
      </c>
      <c r="F549">
        <v>42973</v>
      </c>
      <c r="G549" t="s">
        <v>645</v>
      </c>
      <c r="H549">
        <v>1006.4499999999999</v>
      </c>
      <c r="I549" t="s">
        <v>370</v>
      </c>
      <c r="J549" t="str">
        <f t="shared" si="8"/>
        <v>Aug</v>
      </c>
    </row>
    <row r="550" spans="2:10" hidden="1" x14ac:dyDescent="0.25">
      <c r="B550">
        <v>10659</v>
      </c>
      <c r="C550" t="s">
        <v>213</v>
      </c>
      <c r="D550">
        <v>42983</v>
      </c>
      <c r="E550">
        <v>43011</v>
      </c>
      <c r="F550">
        <v>42988</v>
      </c>
      <c r="G550" t="s">
        <v>646</v>
      </c>
      <c r="H550">
        <v>529.04999999999995</v>
      </c>
      <c r="I550" t="s">
        <v>370</v>
      </c>
      <c r="J550" t="str">
        <f t="shared" si="8"/>
        <v>Sep</v>
      </c>
    </row>
    <row r="551" spans="2:10" hidden="1" x14ac:dyDescent="0.25">
      <c r="B551">
        <v>10704</v>
      </c>
      <c r="C551" t="s">
        <v>213</v>
      </c>
      <c r="D551">
        <v>43022</v>
      </c>
      <c r="E551">
        <v>43050</v>
      </c>
      <c r="F551">
        <v>43046</v>
      </c>
      <c r="G551" t="s">
        <v>645</v>
      </c>
      <c r="H551">
        <v>23.900000000000002</v>
      </c>
      <c r="I551" t="s">
        <v>370</v>
      </c>
      <c r="J551" t="str">
        <f t="shared" si="8"/>
        <v>Oct</v>
      </c>
    </row>
    <row r="552" spans="2:10" hidden="1" x14ac:dyDescent="0.25">
      <c r="B552">
        <v>10728</v>
      </c>
      <c r="C552" t="s">
        <v>213</v>
      </c>
      <c r="D552">
        <v>43043</v>
      </c>
      <c r="E552">
        <v>43071</v>
      </c>
      <c r="F552">
        <v>43050</v>
      </c>
      <c r="G552" t="s">
        <v>646</v>
      </c>
      <c r="H552">
        <v>291.64999999999998</v>
      </c>
      <c r="I552" t="s">
        <v>370</v>
      </c>
      <c r="J552" t="str">
        <f t="shared" si="8"/>
        <v>Nov</v>
      </c>
    </row>
    <row r="553" spans="2:10" hidden="1" x14ac:dyDescent="0.25">
      <c r="B553">
        <v>10786</v>
      </c>
      <c r="C553" t="s">
        <v>213</v>
      </c>
      <c r="D553">
        <v>43088</v>
      </c>
      <c r="E553">
        <v>43116</v>
      </c>
      <c r="F553">
        <v>43092</v>
      </c>
      <c r="G553" t="s">
        <v>645</v>
      </c>
      <c r="H553">
        <v>554.35</v>
      </c>
      <c r="I553" t="s">
        <v>370</v>
      </c>
      <c r="J553" t="str">
        <f t="shared" si="8"/>
        <v>Dec</v>
      </c>
    </row>
    <row r="554" spans="2:10" hidden="1" x14ac:dyDescent="0.25">
      <c r="B554">
        <v>10868</v>
      </c>
      <c r="C554" t="s">
        <v>213</v>
      </c>
      <c r="D554">
        <v>43135</v>
      </c>
      <c r="E554">
        <v>43163</v>
      </c>
      <c r="F554">
        <v>43154</v>
      </c>
      <c r="G554" t="s">
        <v>646</v>
      </c>
      <c r="H554">
        <v>956.35</v>
      </c>
      <c r="I554" t="s">
        <v>370</v>
      </c>
      <c r="J554" t="str">
        <f t="shared" si="8"/>
        <v>Feb</v>
      </c>
    </row>
    <row r="555" spans="2:10" hidden="1" x14ac:dyDescent="0.25">
      <c r="B555">
        <v>10913</v>
      </c>
      <c r="C555" t="s">
        <v>213</v>
      </c>
      <c r="D555">
        <v>43157</v>
      </c>
      <c r="E555">
        <v>43185</v>
      </c>
      <c r="F555">
        <v>43163</v>
      </c>
      <c r="G555" t="s">
        <v>645</v>
      </c>
      <c r="H555">
        <v>165.25</v>
      </c>
      <c r="I555" t="s">
        <v>370</v>
      </c>
      <c r="J555" t="str">
        <f t="shared" si="8"/>
        <v>Feb</v>
      </c>
    </row>
    <row r="556" spans="2:10" hidden="1" x14ac:dyDescent="0.25">
      <c r="B556">
        <v>10914</v>
      </c>
      <c r="C556" t="s">
        <v>213</v>
      </c>
      <c r="D556">
        <v>43158</v>
      </c>
      <c r="E556">
        <v>43186</v>
      </c>
      <c r="F556">
        <v>43161</v>
      </c>
      <c r="G556" t="s">
        <v>645</v>
      </c>
      <c r="H556">
        <v>105.95</v>
      </c>
      <c r="I556" t="s">
        <v>370</v>
      </c>
      <c r="J556" t="str">
        <f t="shared" si="8"/>
        <v>Feb</v>
      </c>
    </row>
    <row r="557" spans="2:10" hidden="1" x14ac:dyDescent="0.25">
      <c r="B557">
        <v>10961</v>
      </c>
      <c r="C557" t="s">
        <v>213</v>
      </c>
      <c r="D557">
        <v>43178</v>
      </c>
      <c r="E557">
        <v>43206</v>
      </c>
      <c r="F557">
        <v>43189</v>
      </c>
      <c r="G557" t="s">
        <v>645</v>
      </c>
      <c r="H557">
        <v>522.35</v>
      </c>
      <c r="I557" t="s">
        <v>370</v>
      </c>
      <c r="J557" t="str">
        <f t="shared" si="8"/>
        <v>Mar</v>
      </c>
    </row>
    <row r="558" spans="2:10" hidden="1" x14ac:dyDescent="0.25">
      <c r="B558">
        <v>11068</v>
      </c>
      <c r="C558" t="s">
        <v>213</v>
      </c>
      <c r="D558">
        <v>43224</v>
      </c>
      <c r="E558">
        <v>43252</v>
      </c>
      <c r="F558"/>
      <c r="G558" t="s">
        <v>646</v>
      </c>
      <c r="H558">
        <v>408.75</v>
      </c>
      <c r="I558" t="s">
        <v>370</v>
      </c>
      <c r="J558" t="str">
        <f t="shared" si="8"/>
        <v>May</v>
      </c>
    </row>
    <row r="559" spans="2:10" hidden="1" x14ac:dyDescent="0.25">
      <c r="B559">
        <v>10273</v>
      </c>
      <c r="C559" t="s">
        <v>215</v>
      </c>
      <c r="D559">
        <v>42587</v>
      </c>
      <c r="E559">
        <v>42615</v>
      </c>
      <c r="F559">
        <v>42594</v>
      </c>
      <c r="G559" t="s">
        <v>647</v>
      </c>
      <c r="H559">
        <v>380.34999999999997</v>
      </c>
      <c r="I559" t="s">
        <v>10</v>
      </c>
      <c r="J559" t="str">
        <f t="shared" si="8"/>
        <v>Aug</v>
      </c>
    </row>
    <row r="560" spans="2:10" hidden="1" x14ac:dyDescent="0.25">
      <c r="B560">
        <v>10285</v>
      </c>
      <c r="C560" t="s">
        <v>215</v>
      </c>
      <c r="D560">
        <v>42602</v>
      </c>
      <c r="E560">
        <v>42630</v>
      </c>
      <c r="F560">
        <v>42608</v>
      </c>
      <c r="G560" t="s">
        <v>646</v>
      </c>
      <c r="H560">
        <v>384.15</v>
      </c>
      <c r="I560" t="s">
        <v>10</v>
      </c>
      <c r="J560" t="str">
        <f t="shared" si="8"/>
        <v>Aug</v>
      </c>
    </row>
    <row r="561" spans="2:10" hidden="1" x14ac:dyDescent="0.25">
      <c r="B561">
        <v>10286</v>
      </c>
      <c r="C561" t="s">
        <v>215</v>
      </c>
      <c r="D561">
        <v>42603</v>
      </c>
      <c r="E561">
        <v>42631</v>
      </c>
      <c r="F561">
        <v>42612</v>
      </c>
      <c r="G561" t="s">
        <v>647</v>
      </c>
      <c r="H561">
        <v>1146.2</v>
      </c>
      <c r="I561" t="s">
        <v>10</v>
      </c>
      <c r="J561" t="str">
        <f t="shared" si="8"/>
        <v>Aug</v>
      </c>
    </row>
    <row r="562" spans="2:10" hidden="1" x14ac:dyDescent="0.25">
      <c r="B562">
        <v>10313</v>
      </c>
      <c r="C562" t="s">
        <v>215</v>
      </c>
      <c r="D562">
        <v>42637</v>
      </c>
      <c r="E562">
        <v>42665</v>
      </c>
      <c r="F562">
        <v>42647</v>
      </c>
      <c r="G562" t="s">
        <v>646</v>
      </c>
      <c r="H562">
        <v>9.8000000000000007</v>
      </c>
      <c r="I562" t="s">
        <v>10</v>
      </c>
      <c r="J562" t="str">
        <f t="shared" si="8"/>
        <v>Sep</v>
      </c>
    </row>
    <row r="563" spans="2:10" hidden="1" x14ac:dyDescent="0.25">
      <c r="B563">
        <v>10345</v>
      </c>
      <c r="C563" t="s">
        <v>215</v>
      </c>
      <c r="D563">
        <v>42678</v>
      </c>
      <c r="E563">
        <v>42706</v>
      </c>
      <c r="F563">
        <v>42685</v>
      </c>
      <c r="G563" t="s">
        <v>646</v>
      </c>
      <c r="H563">
        <v>1245.3</v>
      </c>
      <c r="I563" t="s">
        <v>10</v>
      </c>
      <c r="J563" t="str">
        <f t="shared" si="8"/>
        <v>Nov</v>
      </c>
    </row>
    <row r="564" spans="2:10" hidden="1" x14ac:dyDescent="0.25">
      <c r="B564">
        <v>10361</v>
      </c>
      <c r="C564" t="s">
        <v>215</v>
      </c>
      <c r="D564">
        <v>42696</v>
      </c>
      <c r="E564">
        <v>42724</v>
      </c>
      <c r="F564">
        <v>42707</v>
      </c>
      <c r="G564" t="s">
        <v>646</v>
      </c>
      <c r="H564">
        <v>915.84999999999991</v>
      </c>
      <c r="I564" t="s">
        <v>10</v>
      </c>
      <c r="J564" t="str">
        <f t="shared" si="8"/>
        <v>Nov</v>
      </c>
    </row>
    <row r="565" spans="2:10" hidden="1" x14ac:dyDescent="0.25">
      <c r="B565">
        <v>10418</v>
      </c>
      <c r="C565" t="s">
        <v>215</v>
      </c>
      <c r="D565">
        <v>42752</v>
      </c>
      <c r="E565">
        <v>42780</v>
      </c>
      <c r="F565">
        <v>42759</v>
      </c>
      <c r="G565" t="s">
        <v>645</v>
      </c>
      <c r="H565">
        <v>87.75</v>
      </c>
      <c r="I565" t="s">
        <v>10</v>
      </c>
      <c r="J565" t="str">
        <f t="shared" si="8"/>
        <v>Jan</v>
      </c>
    </row>
    <row r="566" spans="2:10" hidden="1" x14ac:dyDescent="0.25">
      <c r="B566">
        <v>10451</v>
      </c>
      <c r="C566" t="s">
        <v>215</v>
      </c>
      <c r="D566">
        <v>42785</v>
      </c>
      <c r="E566">
        <v>42799</v>
      </c>
      <c r="F566">
        <v>42806</v>
      </c>
      <c r="G566" t="s">
        <v>647</v>
      </c>
      <c r="H566">
        <v>945.45</v>
      </c>
      <c r="I566" t="s">
        <v>10</v>
      </c>
      <c r="J566" t="str">
        <f t="shared" si="8"/>
        <v>Feb</v>
      </c>
    </row>
    <row r="567" spans="2:10" hidden="1" x14ac:dyDescent="0.25">
      <c r="B567">
        <v>10515</v>
      </c>
      <c r="C567" t="s">
        <v>215</v>
      </c>
      <c r="D567">
        <v>42848</v>
      </c>
      <c r="E567">
        <v>42862</v>
      </c>
      <c r="F567">
        <v>42878</v>
      </c>
      <c r="G567" t="s">
        <v>645</v>
      </c>
      <c r="H567">
        <v>1022.35</v>
      </c>
      <c r="I567" t="s">
        <v>10</v>
      </c>
      <c r="J567" t="str">
        <f t="shared" si="8"/>
        <v>Apr</v>
      </c>
    </row>
    <row r="568" spans="2:10" hidden="1" x14ac:dyDescent="0.25">
      <c r="B568">
        <v>10527</v>
      </c>
      <c r="C568" t="s">
        <v>215</v>
      </c>
      <c r="D568">
        <v>42860</v>
      </c>
      <c r="E568">
        <v>42888</v>
      </c>
      <c r="F568">
        <v>42862</v>
      </c>
      <c r="G568" t="s">
        <v>645</v>
      </c>
      <c r="H568">
        <v>209.5</v>
      </c>
      <c r="I568" t="s">
        <v>10</v>
      </c>
      <c r="J568" t="str">
        <f t="shared" si="8"/>
        <v>May</v>
      </c>
    </row>
    <row r="569" spans="2:10" hidden="1" x14ac:dyDescent="0.25">
      <c r="B569">
        <v>10540</v>
      </c>
      <c r="C569" t="s">
        <v>215</v>
      </c>
      <c r="D569">
        <v>42874</v>
      </c>
      <c r="E569">
        <v>42902</v>
      </c>
      <c r="F569">
        <v>42899</v>
      </c>
      <c r="G569" t="s">
        <v>647</v>
      </c>
      <c r="H569">
        <v>5038.2</v>
      </c>
      <c r="I569" t="s">
        <v>10</v>
      </c>
      <c r="J569" t="str">
        <f t="shared" si="8"/>
        <v>May</v>
      </c>
    </row>
    <row r="570" spans="2:10" hidden="1" x14ac:dyDescent="0.25">
      <c r="B570">
        <v>10549</v>
      </c>
      <c r="C570" t="s">
        <v>215</v>
      </c>
      <c r="D570">
        <v>42882</v>
      </c>
      <c r="E570">
        <v>42896</v>
      </c>
      <c r="F570">
        <v>42885</v>
      </c>
      <c r="G570" t="s">
        <v>645</v>
      </c>
      <c r="H570">
        <v>856.2</v>
      </c>
      <c r="I570" t="s">
        <v>10</v>
      </c>
      <c r="J570" t="str">
        <f t="shared" si="8"/>
        <v>May</v>
      </c>
    </row>
    <row r="571" spans="2:10" hidden="1" x14ac:dyDescent="0.25">
      <c r="B571">
        <v>10588</v>
      </c>
      <c r="C571" t="s">
        <v>215</v>
      </c>
      <c r="D571">
        <v>42919</v>
      </c>
      <c r="E571">
        <v>42947</v>
      </c>
      <c r="F571">
        <v>42926</v>
      </c>
      <c r="G571" t="s">
        <v>647</v>
      </c>
      <c r="H571">
        <v>973.34999999999991</v>
      </c>
      <c r="I571" t="s">
        <v>10</v>
      </c>
      <c r="J571" t="str">
        <f t="shared" si="8"/>
        <v>Jul</v>
      </c>
    </row>
    <row r="572" spans="2:10" hidden="1" x14ac:dyDescent="0.25">
      <c r="B572">
        <v>10658</v>
      </c>
      <c r="C572" t="s">
        <v>215</v>
      </c>
      <c r="D572">
        <v>42983</v>
      </c>
      <c r="E572">
        <v>43011</v>
      </c>
      <c r="F572">
        <v>42986</v>
      </c>
      <c r="G572" t="s">
        <v>645</v>
      </c>
      <c r="H572">
        <v>1820.75</v>
      </c>
      <c r="I572" t="s">
        <v>10</v>
      </c>
      <c r="J572" t="str">
        <f t="shared" si="8"/>
        <v>Sep</v>
      </c>
    </row>
    <row r="573" spans="2:10" hidden="1" x14ac:dyDescent="0.25">
      <c r="B573">
        <v>10691</v>
      </c>
      <c r="C573" t="s">
        <v>215</v>
      </c>
      <c r="D573">
        <v>43011</v>
      </c>
      <c r="E573">
        <v>43053</v>
      </c>
      <c r="F573">
        <v>43030</v>
      </c>
      <c r="G573" t="s">
        <v>646</v>
      </c>
      <c r="H573">
        <v>4050.25</v>
      </c>
      <c r="I573" t="s">
        <v>10</v>
      </c>
      <c r="J573" t="str">
        <f t="shared" si="8"/>
        <v>Oct</v>
      </c>
    </row>
    <row r="574" spans="2:10" hidden="1" x14ac:dyDescent="0.25">
      <c r="B574">
        <v>10694</v>
      </c>
      <c r="C574" t="s">
        <v>215</v>
      </c>
      <c r="D574">
        <v>43014</v>
      </c>
      <c r="E574">
        <v>43042</v>
      </c>
      <c r="F574">
        <v>43017</v>
      </c>
      <c r="G574" t="s">
        <v>647</v>
      </c>
      <c r="H574">
        <v>1991.8000000000002</v>
      </c>
      <c r="I574" t="s">
        <v>10</v>
      </c>
      <c r="J574" t="str">
        <f t="shared" si="8"/>
        <v>Oct</v>
      </c>
    </row>
    <row r="575" spans="2:10" hidden="1" x14ac:dyDescent="0.25">
      <c r="B575">
        <v>10721</v>
      </c>
      <c r="C575" t="s">
        <v>215</v>
      </c>
      <c r="D575">
        <v>43037</v>
      </c>
      <c r="E575">
        <v>43065</v>
      </c>
      <c r="F575">
        <v>43039</v>
      </c>
      <c r="G575" t="s">
        <v>647</v>
      </c>
      <c r="H575">
        <v>244.60000000000002</v>
      </c>
      <c r="I575" t="s">
        <v>10</v>
      </c>
      <c r="J575" t="str">
        <f t="shared" si="8"/>
        <v>Oct</v>
      </c>
    </row>
    <row r="576" spans="2:10" hidden="1" x14ac:dyDescent="0.25">
      <c r="B576">
        <v>10745</v>
      </c>
      <c r="C576" t="s">
        <v>215</v>
      </c>
      <c r="D576">
        <v>43057</v>
      </c>
      <c r="E576">
        <v>43085</v>
      </c>
      <c r="F576">
        <v>43066</v>
      </c>
      <c r="G576" t="s">
        <v>645</v>
      </c>
      <c r="H576">
        <v>17.600000000000001</v>
      </c>
      <c r="I576" t="s">
        <v>10</v>
      </c>
      <c r="J576" t="str">
        <f t="shared" si="8"/>
        <v>Nov</v>
      </c>
    </row>
    <row r="577" spans="2:10" hidden="1" x14ac:dyDescent="0.25">
      <c r="B577">
        <v>10765</v>
      </c>
      <c r="C577" t="s">
        <v>215</v>
      </c>
      <c r="D577">
        <v>43073</v>
      </c>
      <c r="E577">
        <v>43101</v>
      </c>
      <c r="F577">
        <v>43078</v>
      </c>
      <c r="G577" t="s">
        <v>647</v>
      </c>
      <c r="H577">
        <v>213.70000000000002</v>
      </c>
      <c r="I577" t="s">
        <v>10</v>
      </c>
      <c r="J577" t="str">
        <f t="shared" si="8"/>
        <v>Dec</v>
      </c>
    </row>
    <row r="578" spans="2:10" hidden="1" x14ac:dyDescent="0.25">
      <c r="B578">
        <v>10788</v>
      </c>
      <c r="C578" t="s">
        <v>215</v>
      </c>
      <c r="D578">
        <v>43091</v>
      </c>
      <c r="E578">
        <v>43119</v>
      </c>
      <c r="F578">
        <v>43119</v>
      </c>
      <c r="G578" t="s">
        <v>646</v>
      </c>
      <c r="H578">
        <v>213.5</v>
      </c>
      <c r="I578" t="s">
        <v>10</v>
      </c>
      <c r="J578" t="str">
        <f t="shared" si="8"/>
        <v>Dec</v>
      </c>
    </row>
    <row r="579" spans="2:10" hidden="1" x14ac:dyDescent="0.25">
      <c r="B579">
        <v>10845</v>
      </c>
      <c r="C579" t="s">
        <v>215</v>
      </c>
      <c r="D579">
        <v>43121</v>
      </c>
      <c r="E579">
        <v>43135</v>
      </c>
      <c r="F579">
        <v>43130</v>
      </c>
      <c r="G579" t="s">
        <v>645</v>
      </c>
      <c r="H579">
        <v>1064.8999999999999</v>
      </c>
      <c r="I579" t="s">
        <v>10</v>
      </c>
      <c r="J579" t="str">
        <f t="shared" si="8"/>
        <v>Jan</v>
      </c>
    </row>
    <row r="580" spans="2:10" hidden="1" x14ac:dyDescent="0.25">
      <c r="B580">
        <v>10865</v>
      </c>
      <c r="C580" t="s">
        <v>215</v>
      </c>
      <c r="D580">
        <v>43133</v>
      </c>
      <c r="E580">
        <v>43147</v>
      </c>
      <c r="F580">
        <v>43143</v>
      </c>
      <c r="G580" t="s">
        <v>645</v>
      </c>
      <c r="H580">
        <v>1740.6999999999998</v>
      </c>
      <c r="I580" t="s">
        <v>10</v>
      </c>
      <c r="J580" t="str">
        <f t="shared" si="8"/>
        <v>Feb</v>
      </c>
    </row>
    <row r="581" spans="2:10" hidden="1" x14ac:dyDescent="0.25">
      <c r="B581">
        <v>10878</v>
      </c>
      <c r="C581" t="s">
        <v>215</v>
      </c>
      <c r="D581">
        <v>43141</v>
      </c>
      <c r="E581">
        <v>43169</v>
      </c>
      <c r="F581">
        <v>43143</v>
      </c>
      <c r="G581" t="s">
        <v>645</v>
      </c>
      <c r="H581">
        <v>233.45</v>
      </c>
      <c r="I581" t="s">
        <v>10</v>
      </c>
      <c r="J581" t="str">
        <f t="shared" si="8"/>
        <v>Feb</v>
      </c>
    </row>
    <row r="582" spans="2:10" hidden="1" x14ac:dyDescent="0.25">
      <c r="B582">
        <v>10938</v>
      </c>
      <c r="C582" t="s">
        <v>215</v>
      </c>
      <c r="D582">
        <v>43169</v>
      </c>
      <c r="E582">
        <v>43197</v>
      </c>
      <c r="F582">
        <v>43175</v>
      </c>
      <c r="G582" t="s">
        <v>646</v>
      </c>
      <c r="H582">
        <v>159.44999999999999</v>
      </c>
      <c r="I582" t="s">
        <v>10</v>
      </c>
      <c r="J582" t="str">
        <f t="shared" si="8"/>
        <v>Mar</v>
      </c>
    </row>
    <row r="583" spans="2:10" hidden="1" x14ac:dyDescent="0.25">
      <c r="B583">
        <v>10962</v>
      </c>
      <c r="C583" t="s">
        <v>215</v>
      </c>
      <c r="D583">
        <v>43178</v>
      </c>
      <c r="E583">
        <v>43206</v>
      </c>
      <c r="F583">
        <v>43182</v>
      </c>
      <c r="G583" t="s">
        <v>646</v>
      </c>
      <c r="H583">
        <v>1378.95</v>
      </c>
      <c r="I583" t="s">
        <v>10</v>
      </c>
      <c r="J583" t="str">
        <f t="shared" si="8"/>
        <v>Mar</v>
      </c>
    </row>
    <row r="584" spans="2:10" hidden="1" x14ac:dyDescent="0.25">
      <c r="B584">
        <v>10991</v>
      </c>
      <c r="C584" t="s">
        <v>215</v>
      </c>
      <c r="D584">
        <v>43191</v>
      </c>
      <c r="E584">
        <v>43219</v>
      </c>
      <c r="F584">
        <v>43197</v>
      </c>
      <c r="G584" t="s">
        <v>645</v>
      </c>
      <c r="H584">
        <v>192.54999999999998</v>
      </c>
      <c r="I584" t="s">
        <v>10</v>
      </c>
      <c r="J584" t="str">
        <f t="shared" si="8"/>
        <v>Apr</v>
      </c>
    </row>
    <row r="585" spans="2:10" hidden="1" x14ac:dyDescent="0.25">
      <c r="B585">
        <v>10996</v>
      </c>
      <c r="C585" t="s">
        <v>215</v>
      </c>
      <c r="D585">
        <v>43192</v>
      </c>
      <c r="E585">
        <v>43220</v>
      </c>
      <c r="F585">
        <v>43200</v>
      </c>
      <c r="G585" t="s">
        <v>646</v>
      </c>
      <c r="H585">
        <v>5.6000000000000005</v>
      </c>
      <c r="I585" t="s">
        <v>10</v>
      </c>
      <c r="J585" t="str">
        <f t="shared" si="8"/>
        <v>Apr</v>
      </c>
    </row>
    <row r="586" spans="2:10" hidden="1" x14ac:dyDescent="0.25">
      <c r="B586">
        <v>11021</v>
      </c>
      <c r="C586" t="s">
        <v>215</v>
      </c>
      <c r="D586">
        <v>43204</v>
      </c>
      <c r="E586">
        <v>43232</v>
      </c>
      <c r="F586">
        <v>43211</v>
      </c>
      <c r="G586" t="s">
        <v>645</v>
      </c>
      <c r="H586">
        <v>1485.9</v>
      </c>
      <c r="I586" t="s">
        <v>10</v>
      </c>
      <c r="J586" t="str">
        <f t="shared" si="8"/>
        <v>Apr</v>
      </c>
    </row>
    <row r="587" spans="2:10" hidden="1" x14ac:dyDescent="0.25">
      <c r="B587">
        <v>10448</v>
      </c>
      <c r="C587" t="s">
        <v>217</v>
      </c>
      <c r="D587">
        <v>42783</v>
      </c>
      <c r="E587">
        <v>42811</v>
      </c>
      <c r="F587">
        <v>42790</v>
      </c>
      <c r="G587" t="s">
        <v>646</v>
      </c>
      <c r="H587">
        <v>194.1</v>
      </c>
      <c r="I587" t="s">
        <v>9</v>
      </c>
      <c r="J587" t="str">
        <f t="shared" si="8"/>
        <v>Feb</v>
      </c>
    </row>
    <row r="588" spans="2:10" hidden="1" x14ac:dyDescent="0.25">
      <c r="B588">
        <v>10716</v>
      </c>
      <c r="C588" t="s">
        <v>217</v>
      </c>
      <c r="D588">
        <v>43032</v>
      </c>
      <c r="E588">
        <v>43060</v>
      </c>
      <c r="F588">
        <v>43035</v>
      </c>
      <c r="G588" t="s">
        <v>646</v>
      </c>
      <c r="H588">
        <v>112.85</v>
      </c>
      <c r="I588" t="s">
        <v>9</v>
      </c>
      <c r="J588" t="str">
        <f t="shared" si="8"/>
        <v>Oct</v>
      </c>
    </row>
    <row r="589" spans="2:10" hidden="1" x14ac:dyDescent="0.25">
      <c r="B589">
        <v>10828</v>
      </c>
      <c r="C589" t="s">
        <v>217</v>
      </c>
      <c r="D589">
        <v>43113</v>
      </c>
      <c r="E589">
        <v>43127</v>
      </c>
      <c r="F589">
        <v>43135</v>
      </c>
      <c r="G589" t="s">
        <v>645</v>
      </c>
      <c r="H589">
        <v>454.25</v>
      </c>
      <c r="I589" t="s">
        <v>9</v>
      </c>
      <c r="J589" t="str">
        <f t="shared" si="8"/>
        <v>Jan</v>
      </c>
    </row>
    <row r="590" spans="2:10" hidden="1" x14ac:dyDescent="0.25">
      <c r="B590">
        <v>10916</v>
      </c>
      <c r="C590" t="s">
        <v>217</v>
      </c>
      <c r="D590">
        <v>43158</v>
      </c>
      <c r="E590">
        <v>43186</v>
      </c>
      <c r="F590">
        <v>43168</v>
      </c>
      <c r="G590" t="s">
        <v>646</v>
      </c>
      <c r="H590">
        <v>318.85000000000002</v>
      </c>
      <c r="I590" t="s">
        <v>9</v>
      </c>
      <c r="J590" t="str">
        <f t="shared" si="8"/>
        <v>Feb</v>
      </c>
    </row>
    <row r="591" spans="2:10" hidden="1" x14ac:dyDescent="0.25">
      <c r="B591">
        <v>11019</v>
      </c>
      <c r="C591" t="s">
        <v>217</v>
      </c>
      <c r="D591">
        <v>43203</v>
      </c>
      <c r="E591">
        <v>43231</v>
      </c>
      <c r="F591"/>
      <c r="G591" t="s">
        <v>647</v>
      </c>
      <c r="H591">
        <v>15.85</v>
      </c>
      <c r="I591" t="s">
        <v>9</v>
      </c>
      <c r="J591" t="str">
        <f t="shared" si="8"/>
        <v>Apr</v>
      </c>
    </row>
    <row r="592" spans="2:10" hidden="1" x14ac:dyDescent="0.25">
      <c r="B592">
        <v>10262</v>
      </c>
      <c r="C592" t="s">
        <v>220</v>
      </c>
      <c r="D592">
        <v>42573</v>
      </c>
      <c r="E592">
        <v>42601</v>
      </c>
      <c r="F592">
        <v>42576</v>
      </c>
      <c r="G592" t="s">
        <v>647</v>
      </c>
      <c r="H592">
        <v>241.45</v>
      </c>
      <c r="I592" t="s">
        <v>371</v>
      </c>
      <c r="J592" t="str">
        <f t="shared" si="8"/>
        <v>Jul</v>
      </c>
    </row>
    <row r="593" spans="2:10" hidden="1" x14ac:dyDescent="0.25">
      <c r="B593">
        <v>10272</v>
      </c>
      <c r="C593" t="s">
        <v>220</v>
      </c>
      <c r="D593">
        <v>42584</v>
      </c>
      <c r="E593">
        <v>42612</v>
      </c>
      <c r="F593">
        <v>42588</v>
      </c>
      <c r="G593" t="s">
        <v>646</v>
      </c>
      <c r="H593">
        <v>490.15</v>
      </c>
      <c r="I593" t="s">
        <v>371</v>
      </c>
      <c r="J593" t="str">
        <f t="shared" ref="J593:J656" si="9">TEXT(D593,"mmm")</f>
        <v>Aug</v>
      </c>
    </row>
    <row r="594" spans="2:10" hidden="1" x14ac:dyDescent="0.25">
      <c r="B594">
        <v>10294</v>
      </c>
      <c r="C594" t="s">
        <v>220</v>
      </c>
      <c r="D594">
        <v>42612</v>
      </c>
      <c r="E594">
        <v>42640</v>
      </c>
      <c r="F594">
        <v>42618</v>
      </c>
      <c r="G594" t="s">
        <v>646</v>
      </c>
      <c r="H594">
        <v>736.3</v>
      </c>
      <c r="I594" t="s">
        <v>371</v>
      </c>
      <c r="J594" t="str">
        <f t="shared" si="9"/>
        <v>Aug</v>
      </c>
    </row>
    <row r="595" spans="2:10" hidden="1" x14ac:dyDescent="0.25">
      <c r="B595">
        <v>10314</v>
      </c>
      <c r="C595" t="s">
        <v>220</v>
      </c>
      <c r="D595">
        <v>42638</v>
      </c>
      <c r="E595">
        <v>42666</v>
      </c>
      <c r="F595">
        <v>42647</v>
      </c>
      <c r="G595" t="s">
        <v>646</v>
      </c>
      <c r="H595">
        <v>370.79999999999995</v>
      </c>
      <c r="I595" t="s">
        <v>371</v>
      </c>
      <c r="J595" t="str">
        <f t="shared" si="9"/>
        <v>Sep</v>
      </c>
    </row>
    <row r="596" spans="2:10" hidden="1" x14ac:dyDescent="0.25">
      <c r="B596">
        <v>10316</v>
      </c>
      <c r="C596" t="s">
        <v>220</v>
      </c>
      <c r="D596">
        <v>42640</v>
      </c>
      <c r="E596">
        <v>42668</v>
      </c>
      <c r="F596">
        <v>42651</v>
      </c>
      <c r="G596" t="s">
        <v>647</v>
      </c>
      <c r="H596">
        <v>750.75</v>
      </c>
      <c r="I596" t="s">
        <v>371</v>
      </c>
      <c r="J596" t="str">
        <f t="shared" si="9"/>
        <v>Sep</v>
      </c>
    </row>
    <row r="597" spans="2:10" hidden="1" x14ac:dyDescent="0.25">
      <c r="B597">
        <v>10346</v>
      </c>
      <c r="C597" t="s">
        <v>220</v>
      </c>
      <c r="D597">
        <v>42679</v>
      </c>
      <c r="E597">
        <v>42721</v>
      </c>
      <c r="F597">
        <v>42682</v>
      </c>
      <c r="G597" t="s">
        <v>647</v>
      </c>
      <c r="H597">
        <v>710.40000000000009</v>
      </c>
      <c r="I597" t="s">
        <v>371</v>
      </c>
      <c r="J597" t="str">
        <f t="shared" si="9"/>
        <v>Nov</v>
      </c>
    </row>
    <row r="598" spans="2:10" hidden="1" x14ac:dyDescent="0.25">
      <c r="B598">
        <v>10401</v>
      </c>
      <c r="C598" t="s">
        <v>220</v>
      </c>
      <c r="D598">
        <v>42736</v>
      </c>
      <c r="E598">
        <v>42764</v>
      </c>
      <c r="F598">
        <v>42745</v>
      </c>
      <c r="G598" t="s">
        <v>645</v>
      </c>
      <c r="H598">
        <v>62.55</v>
      </c>
      <c r="I598" t="s">
        <v>371</v>
      </c>
      <c r="J598" t="str">
        <f t="shared" si="9"/>
        <v>Jan</v>
      </c>
    </row>
    <row r="599" spans="2:10" hidden="1" x14ac:dyDescent="0.25">
      <c r="B599">
        <v>10479</v>
      </c>
      <c r="C599" t="s">
        <v>220</v>
      </c>
      <c r="D599">
        <v>42813</v>
      </c>
      <c r="E599">
        <v>42841</v>
      </c>
      <c r="F599">
        <v>42815</v>
      </c>
      <c r="G599" t="s">
        <v>647</v>
      </c>
      <c r="H599">
        <v>3544.75</v>
      </c>
      <c r="I599" t="s">
        <v>371</v>
      </c>
      <c r="J599" t="str">
        <f t="shared" si="9"/>
        <v>Mar</v>
      </c>
    </row>
    <row r="600" spans="2:10" hidden="1" x14ac:dyDescent="0.25">
      <c r="B600">
        <v>10564</v>
      </c>
      <c r="C600" t="s">
        <v>220</v>
      </c>
      <c r="D600">
        <v>42896</v>
      </c>
      <c r="E600">
        <v>42924</v>
      </c>
      <c r="F600">
        <v>42902</v>
      </c>
      <c r="G600" t="s">
        <v>647</v>
      </c>
      <c r="H600">
        <v>68.75</v>
      </c>
      <c r="I600" t="s">
        <v>371</v>
      </c>
      <c r="J600" t="str">
        <f t="shared" si="9"/>
        <v>Jun</v>
      </c>
    </row>
    <row r="601" spans="2:10" hidden="1" x14ac:dyDescent="0.25">
      <c r="B601">
        <v>10569</v>
      </c>
      <c r="C601" t="s">
        <v>220</v>
      </c>
      <c r="D601">
        <v>42902</v>
      </c>
      <c r="E601">
        <v>42930</v>
      </c>
      <c r="F601">
        <v>42927</v>
      </c>
      <c r="G601" t="s">
        <v>645</v>
      </c>
      <c r="H601">
        <v>294.89999999999998</v>
      </c>
      <c r="I601" t="s">
        <v>371</v>
      </c>
      <c r="J601" t="str">
        <f t="shared" si="9"/>
        <v>Jun</v>
      </c>
    </row>
    <row r="602" spans="2:10" hidden="1" x14ac:dyDescent="0.25">
      <c r="B602">
        <v>10598</v>
      </c>
      <c r="C602" t="s">
        <v>220</v>
      </c>
      <c r="D602">
        <v>42930</v>
      </c>
      <c r="E602">
        <v>42958</v>
      </c>
      <c r="F602">
        <v>42934</v>
      </c>
      <c r="G602" t="s">
        <v>647</v>
      </c>
      <c r="H602">
        <v>222.10000000000002</v>
      </c>
      <c r="I602" t="s">
        <v>371</v>
      </c>
      <c r="J602" t="str">
        <f t="shared" si="9"/>
        <v>Jul</v>
      </c>
    </row>
    <row r="603" spans="2:10" hidden="1" x14ac:dyDescent="0.25">
      <c r="B603">
        <v>10761</v>
      </c>
      <c r="C603" t="s">
        <v>220</v>
      </c>
      <c r="D603">
        <v>43071</v>
      </c>
      <c r="E603">
        <v>43099</v>
      </c>
      <c r="F603">
        <v>43077</v>
      </c>
      <c r="G603" t="s">
        <v>646</v>
      </c>
      <c r="H603">
        <v>93.3</v>
      </c>
      <c r="I603" t="s">
        <v>371</v>
      </c>
      <c r="J603" t="str">
        <f t="shared" si="9"/>
        <v>Dec</v>
      </c>
    </row>
    <row r="604" spans="2:10" hidden="1" x14ac:dyDescent="0.25">
      <c r="B604">
        <v>10820</v>
      </c>
      <c r="C604" t="s">
        <v>220</v>
      </c>
      <c r="D604">
        <v>43107</v>
      </c>
      <c r="E604">
        <v>43135</v>
      </c>
      <c r="F604">
        <v>43113</v>
      </c>
      <c r="G604" t="s">
        <v>646</v>
      </c>
      <c r="H604">
        <v>187.60000000000002</v>
      </c>
      <c r="I604" t="s">
        <v>371</v>
      </c>
      <c r="J604" t="str">
        <f t="shared" si="9"/>
        <v>Jan</v>
      </c>
    </row>
    <row r="605" spans="2:10" hidden="1" x14ac:dyDescent="0.25">
      <c r="B605">
        <v>10852</v>
      </c>
      <c r="C605" t="s">
        <v>220</v>
      </c>
      <c r="D605">
        <v>43126</v>
      </c>
      <c r="E605">
        <v>43140</v>
      </c>
      <c r="F605">
        <v>43130</v>
      </c>
      <c r="G605" t="s">
        <v>645</v>
      </c>
      <c r="H605">
        <v>870.25</v>
      </c>
      <c r="I605" t="s">
        <v>371</v>
      </c>
      <c r="J605" t="str">
        <f t="shared" si="9"/>
        <v>Jan</v>
      </c>
    </row>
    <row r="606" spans="2:10" hidden="1" x14ac:dyDescent="0.25">
      <c r="B606">
        <v>10889</v>
      </c>
      <c r="C606" t="s">
        <v>220</v>
      </c>
      <c r="D606">
        <v>43147</v>
      </c>
      <c r="E606">
        <v>43175</v>
      </c>
      <c r="F606">
        <v>43154</v>
      </c>
      <c r="G606" t="s">
        <v>647</v>
      </c>
      <c r="H606">
        <v>1403.0500000000002</v>
      </c>
      <c r="I606" t="s">
        <v>371</v>
      </c>
      <c r="J606" t="str">
        <f t="shared" si="9"/>
        <v>Feb</v>
      </c>
    </row>
    <row r="607" spans="2:10" hidden="1" x14ac:dyDescent="0.25">
      <c r="B607">
        <v>10988</v>
      </c>
      <c r="C607" t="s">
        <v>220</v>
      </c>
      <c r="D607">
        <v>43190</v>
      </c>
      <c r="E607">
        <v>43218</v>
      </c>
      <c r="F607">
        <v>43200</v>
      </c>
      <c r="G607" t="s">
        <v>646</v>
      </c>
      <c r="H607">
        <v>305.7</v>
      </c>
      <c r="I607" t="s">
        <v>371</v>
      </c>
      <c r="J607" t="str">
        <f t="shared" si="9"/>
        <v>Mar</v>
      </c>
    </row>
    <row r="608" spans="2:10" hidden="1" x14ac:dyDescent="0.25">
      <c r="B608">
        <v>11000</v>
      </c>
      <c r="C608" t="s">
        <v>220</v>
      </c>
      <c r="D608">
        <v>43196</v>
      </c>
      <c r="E608">
        <v>43224</v>
      </c>
      <c r="F608">
        <v>43204</v>
      </c>
      <c r="G608" t="s">
        <v>647</v>
      </c>
      <c r="H608">
        <v>275.59999999999997</v>
      </c>
      <c r="I608" t="s">
        <v>371</v>
      </c>
      <c r="J608" t="str">
        <f t="shared" si="9"/>
        <v>Apr</v>
      </c>
    </row>
    <row r="609" spans="2:10" hidden="1" x14ac:dyDescent="0.25">
      <c r="B609">
        <v>11077</v>
      </c>
      <c r="C609" t="s">
        <v>220</v>
      </c>
      <c r="D609">
        <v>43226</v>
      </c>
      <c r="E609">
        <v>43254</v>
      </c>
      <c r="F609"/>
      <c r="G609" t="s">
        <v>646</v>
      </c>
      <c r="H609">
        <v>42.65</v>
      </c>
      <c r="I609" t="s">
        <v>371</v>
      </c>
      <c r="J609" t="str">
        <f t="shared" si="9"/>
        <v>May</v>
      </c>
    </row>
    <row r="610" spans="2:10" hidden="1" x14ac:dyDescent="0.25">
      <c r="B610">
        <v>10288</v>
      </c>
      <c r="C610" t="s">
        <v>225</v>
      </c>
      <c r="D610">
        <v>42605</v>
      </c>
      <c r="E610">
        <v>42633</v>
      </c>
      <c r="F610">
        <v>42616</v>
      </c>
      <c r="G610" t="s">
        <v>645</v>
      </c>
      <c r="H610">
        <v>37.25</v>
      </c>
      <c r="I610" t="s">
        <v>372</v>
      </c>
      <c r="J610" t="str">
        <f t="shared" si="9"/>
        <v>Aug</v>
      </c>
    </row>
    <row r="611" spans="2:10" hidden="1" x14ac:dyDescent="0.25">
      <c r="B611">
        <v>10428</v>
      </c>
      <c r="C611" t="s">
        <v>225</v>
      </c>
      <c r="D611">
        <v>42763</v>
      </c>
      <c r="E611">
        <v>42791</v>
      </c>
      <c r="F611">
        <v>42770</v>
      </c>
      <c r="G611" t="s">
        <v>645</v>
      </c>
      <c r="H611">
        <v>55.45</v>
      </c>
      <c r="I611" t="s">
        <v>372</v>
      </c>
      <c r="J611" t="str">
        <f t="shared" si="9"/>
        <v>Jan</v>
      </c>
    </row>
    <row r="612" spans="2:10" hidden="1" x14ac:dyDescent="0.25">
      <c r="B612">
        <v>10443</v>
      </c>
      <c r="C612" t="s">
        <v>225</v>
      </c>
      <c r="D612">
        <v>42778</v>
      </c>
      <c r="E612">
        <v>42806</v>
      </c>
      <c r="F612">
        <v>42780</v>
      </c>
      <c r="G612" t="s">
        <v>645</v>
      </c>
      <c r="H612">
        <v>69.75</v>
      </c>
      <c r="I612" t="s">
        <v>372</v>
      </c>
      <c r="J612" t="str">
        <f t="shared" si="9"/>
        <v>Feb</v>
      </c>
    </row>
    <row r="613" spans="2:10" hidden="1" x14ac:dyDescent="0.25">
      <c r="B613">
        <v>10562</v>
      </c>
      <c r="C613" t="s">
        <v>225</v>
      </c>
      <c r="D613">
        <v>42895</v>
      </c>
      <c r="E613">
        <v>42923</v>
      </c>
      <c r="F613">
        <v>42898</v>
      </c>
      <c r="G613" t="s">
        <v>645</v>
      </c>
      <c r="H613">
        <v>114.75</v>
      </c>
      <c r="I613" t="s">
        <v>372</v>
      </c>
      <c r="J613" t="str">
        <f t="shared" si="9"/>
        <v>Jun</v>
      </c>
    </row>
    <row r="614" spans="2:10" hidden="1" x14ac:dyDescent="0.25">
      <c r="B614">
        <v>10586</v>
      </c>
      <c r="C614" t="s">
        <v>225</v>
      </c>
      <c r="D614">
        <v>42918</v>
      </c>
      <c r="E614">
        <v>42946</v>
      </c>
      <c r="F614">
        <v>42925</v>
      </c>
      <c r="G614" t="s">
        <v>645</v>
      </c>
      <c r="H614">
        <v>2.4</v>
      </c>
      <c r="I614" t="s">
        <v>372</v>
      </c>
      <c r="J614" t="str">
        <f t="shared" si="9"/>
        <v>Jul</v>
      </c>
    </row>
    <row r="615" spans="2:10" hidden="1" x14ac:dyDescent="0.25">
      <c r="B615">
        <v>10655</v>
      </c>
      <c r="C615" t="s">
        <v>225</v>
      </c>
      <c r="D615">
        <v>42981</v>
      </c>
      <c r="E615">
        <v>43009</v>
      </c>
      <c r="F615">
        <v>42989</v>
      </c>
      <c r="G615" t="s">
        <v>646</v>
      </c>
      <c r="H615">
        <v>22.05</v>
      </c>
      <c r="I615" t="s">
        <v>372</v>
      </c>
      <c r="J615" t="str">
        <f t="shared" si="9"/>
        <v>Sep</v>
      </c>
    </row>
    <row r="616" spans="2:10" hidden="1" x14ac:dyDescent="0.25">
      <c r="B616">
        <v>10727</v>
      </c>
      <c r="C616" t="s">
        <v>225</v>
      </c>
      <c r="D616">
        <v>43042</v>
      </c>
      <c r="E616">
        <v>43070</v>
      </c>
      <c r="F616">
        <v>43074</v>
      </c>
      <c r="G616" t="s">
        <v>645</v>
      </c>
      <c r="H616">
        <v>449.5</v>
      </c>
      <c r="I616" t="s">
        <v>372</v>
      </c>
      <c r="J616" t="str">
        <f t="shared" si="9"/>
        <v>Nov</v>
      </c>
    </row>
    <row r="617" spans="2:10" hidden="1" x14ac:dyDescent="0.25">
      <c r="B617">
        <v>10812</v>
      </c>
      <c r="C617" t="s">
        <v>225</v>
      </c>
      <c r="D617">
        <v>43102</v>
      </c>
      <c r="E617">
        <v>43130</v>
      </c>
      <c r="F617">
        <v>43112</v>
      </c>
      <c r="G617" t="s">
        <v>645</v>
      </c>
      <c r="H617">
        <v>298.89999999999998</v>
      </c>
      <c r="I617" t="s">
        <v>372</v>
      </c>
      <c r="J617" t="str">
        <f t="shared" si="9"/>
        <v>Jan</v>
      </c>
    </row>
    <row r="618" spans="2:10" hidden="1" x14ac:dyDescent="0.25">
      <c r="B618">
        <v>10908</v>
      </c>
      <c r="C618" t="s">
        <v>225</v>
      </c>
      <c r="D618">
        <v>43157</v>
      </c>
      <c r="E618">
        <v>43185</v>
      </c>
      <c r="F618">
        <v>43165</v>
      </c>
      <c r="G618" t="s">
        <v>646</v>
      </c>
      <c r="H618">
        <v>164.8</v>
      </c>
      <c r="I618" t="s">
        <v>372</v>
      </c>
      <c r="J618" t="str">
        <f t="shared" si="9"/>
        <v>Feb</v>
      </c>
    </row>
    <row r="619" spans="2:10" hidden="1" x14ac:dyDescent="0.25">
      <c r="B619">
        <v>10942</v>
      </c>
      <c r="C619" t="s">
        <v>225</v>
      </c>
      <c r="D619">
        <v>43170</v>
      </c>
      <c r="E619">
        <v>43198</v>
      </c>
      <c r="F619">
        <v>43177</v>
      </c>
      <c r="G619" t="s">
        <v>647</v>
      </c>
      <c r="H619">
        <v>89.75</v>
      </c>
      <c r="I619" t="s">
        <v>372</v>
      </c>
      <c r="J619" t="str">
        <f t="shared" si="9"/>
        <v>Mar</v>
      </c>
    </row>
    <row r="620" spans="2:10" hidden="1" x14ac:dyDescent="0.25">
      <c r="B620">
        <v>11010</v>
      </c>
      <c r="C620" t="s">
        <v>225</v>
      </c>
      <c r="D620">
        <v>43199</v>
      </c>
      <c r="E620">
        <v>43227</v>
      </c>
      <c r="F620">
        <v>43211</v>
      </c>
      <c r="G620" t="s">
        <v>646</v>
      </c>
      <c r="H620">
        <v>143.55000000000001</v>
      </c>
      <c r="I620" t="s">
        <v>372</v>
      </c>
      <c r="J620" t="str">
        <f t="shared" si="9"/>
        <v>Apr</v>
      </c>
    </row>
    <row r="621" spans="2:10" hidden="1" x14ac:dyDescent="0.25">
      <c r="B621">
        <v>11062</v>
      </c>
      <c r="C621" t="s">
        <v>225</v>
      </c>
      <c r="D621">
        <v>43220</v>
      </c>
      <c r="E621">
        <v>43248</v>
      </c>
      <c r="F621"/>
      <c r="G621" t="s">
        <v>646</v>
      </c>
      <c r="H621">
        <v>149.65</v>
      </c>
      <c r="I621" t="s">
        <v>372</v>
      </c>
      <c r="J621" t="str">
        <f t="shared" si="9"/>
        <v>Apr</v>
      </c>
    </row>
    <row r="622" spans="2:10" hidden="1" x14ac:dyDescent="0.25">
      <c r="B622">
        <v>10287</v>
      </c>
      <c r="C622" t="s">
        <v>228</v>
      </c>
      <c r="D622">
        <v>42604</v>
      </c>
      <c r="E622">
        <v>42632</v>
      </c>
      <c r="F622">
        <v>42610</v>
      </c>
      <c r="G622" t="s">
        <v>647</v>
      </c>
      <c r="H622">
        <v>63.8</v>
      </c>
      <c r="I622" t="s">
        <v>8</v>
      </c>
      <c r="J622" t="str">
        <f t="shared" si="9"/>
        <v>Aug</v>
      </c>
    </row>
    <row r="623" spans="2:10" hidden="1" x14ac:dyDescent="0.25">
      <c r="B623">
        <v>10299</v>
      </c>
      <c r="C623" t="s">
        <v>228</v>
      </c>
      <c r="D623">
        <v>42619</v>
      </c>
      <c r="E623">
        <v>42647</v>
      </c>
      <c r="F623">
        <v>42626</v>
      </c>
      <c r="G623" t="s">
        <v>646</v>
      </c>
      <c r="H623">
        <v>148.80000000000001</v>
      </c>
      <c r="I623" t="s">
        <v>8</v>
      </c>
      <c r="J623" t="str">
        <f t="shared" si="9"/>
        <v>Sep</v>
      </c>
    </row>
    <row r="624" spans="2:10" hidden="1" x14ac:dyDescent="0.25">
      <c r="B624">
        <v>10447</v>
      </c>
      <c r="C624" t="s">
        <v>228</v>
      </c>
      <c r="D624">
        <v>42780</v>
      </c>
      <c r="E624">
        <v>42808</v>
      </c>
      <c r="F624">
        <v>42801</v>
      </c>
      <c r="G624" t="s">
        <v>646</v>
      </c>
      <c r="H624">
        <v>343.29999999999995</v>
      </c>
      <c r="I624" t="s">
        <v>8</v>
      </c>
      <c r="J624" t="str">
        <f t="shared" si="9"/>
        <v>Feb</v>
      </c>
    </row>
    <row r="625" spans="2:10" hidden="1" x14ac:dyDescent="0.25">
      <c r="B625">
        <v>10481</v>
      </c>
      <c r="C625" t="s">
        <v>228</v>
      </c>
      <c r="D625">
        <v>42814</v>
      </c>
      <c r="E625">
        <v>42842</v>
      </c>
      <c r="F625">
        <v>42819</v>
      </c>
      <c r="G625" t="s">
        <v>646</v>
      </c>
      <c r="H625">
        <v>321.64999999999998</v>
      </c>
      <c r="I625" t="s">
        <v>8</v>
      </c>
      <c r="J625" t="str">
        <f t="shared" si="9"/>
        <v>Mar</v>
      </c>
    </row>
    <row r="626" spans="2:10" hidden="1" x14ac:dyDescent="0.25">
      <c r="B626">
        <v>10563</v>
      </c>
      <c r="C626" t="s">
        <v>228</v>
      </c>
      <c r="D626">
        <v>42896</v>
      </c>
      <c r="E626">
        <v>42938</v>
      </c>
      <c r="F626">
        <v>42910</v>
      </c>
      <c r="G626" t="s">
        <v>646</v>
      </c>
      <c r="H626">
        <v>302.14999999999998</v>
      </c>
      <c r="I626" t="s">
        <v>8</v>
      </c>
      <c r="J626" t="str">
        <f t="shared" si="9"/>
        <v>Jun</v>
      </c>
    </row>
    <row r="627" spans="2:10" hidden="1" x14ac:dyDescent="0.25">
      <c r="B627">
        <v>10622</v>
      </c>
      <c r="C627" t="s">
        <v>228</v>
      </c>
      <c r="D627">
        <v>42953</v>
      </c>
      <c r="E627">
        <v>42981</v>
      </c>
      <c r="F627">
        <v>42958</v>
      </c>
      <c r="G627" t="s">
        <v>647</v>
      </c>
      <c r="H627">
        <v>254.85</v>
      </c>
      <c r="I627" t="s">
        <v>8</v>
      </c>
      <c r="J627" t="str">
        <f t="shared" si="9"/>
        <v>Aug</v>
      </c>
    </row>
    <row r="628" spans="2:10" hidden="1" x14ac:dyDescent="0.25">
      <c r="B628">
        <v>10648</v>
      </c>
      <c r="C628" t="s">
        <v>228</v>
      </c>
      <c r="D628">
        <v>42975</v>
      </c>
      <c r="E628">
        <v>43017</v>
      </c>
      <c r="F628">
        <v>42987</v>
      </c>
      <c r="G628" t="s">
        <v>646</v>
      </c>
      <c r="H628">
        <v>71.25</v>
      </c>
      <c r="I628" t="s">
        <v>8</v>
      </c>
      <c r="J628" t="str">
        <f t="shared" si="9"/>
        <v>Aug</v>
      </c>
    </row>
    <row r="629" spans="2:10" hidden="1" x14ac:dyDescent="0.25">
      <c r="B629">
        <v>10813</v>
      </c>
      <c r="C629" t="s">
        <v>228</v>
      </c>
      <c r="D629">
        <v>43105</v>
      </c>
      <c r="E629">
        <v>43133</v>
      </c>
      <c r="F629">
        <v>43109</v>
      </c>
      <c r="G629" t="s">
        <v>645</v>
      </c>
      <c r="H629">
        <v>236.9</v>
      </c>
      <c r="I629" t="s">
        <v>8</v>
      </c>
      <c r="J629" t="str">
        <f t="shared" si="9"/>
        <v>Jan</v>
      </c>
    </row>
    <row r="630" spans="2:10" hidden="1" x14ac:dyDescent="0.25">
      <c r="B630">
        <v>10851</v>
      </c>
      <c r="C630" t="s">
        <v>228</v>
      </c>
      <c r="D630">
        <v>43126</v>
      </c>
      <c r="E630">
        <v>43154</v>
      </c>
      <c r="F630">
        <v>43133</v>
      </c>
      <c r="G630" t="s">
        <v>645</v>
      </c>
      <c r="H630">
        <v>802.75</v>
      </c>
      <c r="I630" t="s">
        <v>8</v>
      </c>
      <c r="J630" t="str">
        <f t="shared" si="9"/>
        <v>Jan</v>
      </c>
    </row>
    <row r="631" spans="2:10" hidden="1" x14ac:dyDescent="0.25">
      <c r="B631">
        <v>10877</v>
      </c>
      <c r="C631" t="s">
        <v>228</v>
      </c>
      <c r="D631">
        <v>43140</v>
      </c>
      <c r="E631">
        <v>43168</v>
      </c>
      <c r="F631">
        <v>43150</v>
      </c>
      <c r="G631" t="s">
        <v>645</v>
      </c>
      <c r="H631">
        <v>190.3</v>
      </c>
      <c r="I631" t="s">
        <v>8</v>
      </c>
      <c r="J631" t="str">
        <f t="shared" si="9"/>
        <v>Feb</v>
      </c>
    </row>
    <row r="632" spans="2:10" hidden="1" x14ac:dyDescent="0.25">
      <c r="B632">
        <v>11059</v>
      </c>
      <c r="C632" t="s">
        <v>228</v>
      </c>
      <c r="D632">
        <v>43219</v>
      </c>
      <c r="E632">
        <v>43261</v>
      </c>
      <c r="F632"/>
      <c r="G632" t="s">
        <v>646</v>
      </c>
      <c r="H632">
        <v>429</v>
      </c>
      <c r="I632" t="s">
        <v>8</v>
      </c>
      <c r="J632" t="str">
        <f t="shared" si="9"/>
        <v>Apr</v>
      </c>
    </row>
    <row r="633" spans="2:10" hidden="1" x14ac:dyDescent="0.25">
      <c r="B633">
        <v>10255</v>
      </c>
      <c r="C633" t="s">
        <v>230</v>
      </c>
      <c r="D633">
        <v>42563</v>
      </c>
      <c r="E633">
        <v>42591</v>
      </c>
      <c r="F633">
        <v>42566</v>
      </c>
      <c r="G633" t="s">
        <v>647</v>
      </c>
      <c r="H633">
        <v>741.65000000000009</v>
      </c>
      <c r="I633" t="s">
        <v>7</v>
      </c>
      <c r="J633" t="str">
        <f t="shared" si="9"/>
        <v>Jul</v>
      </c>
    </row>
    <row r="634" spans="2:10" hidden="1" x14ac:dyDescent="0.25">
      <c r="B634">
        <v>10419</v>
      </c>
      <c r="C634" t="s">
        <v>230</v>
      </c>
      <c r="D634">
        <v>42755</v>
      </c>
      <c r="E634">
        <v>42783</v>
      </c>
      <c r="F634">
        <v>42765</v>
      </c>
      <c r="G634" t="s">
        <v>646</v>
      </c>
      <c r="H634">
        <v>686.75</v>
      </c>
      <c r="I634" t="s">
        <v>7</v>
      </c>
      <c r="J634" t="str">
        <f t="shared" si="9"/>
        <v>Jan</v>
      </c>
    </row>
    <row r="635" spans="2:10" hidden="1" x14ac:dyDescent="0.25">
      <c r="B635">
        <v>10537</v>
      </c>
      <c r="C635" t="s">
        <v>230</v>
      </c>
      <c r="D635">
        <v>42869</v>
      </c>
      <c r="E635">
        <v>42883</v>
      </c>
      <c r="F635">
        <v>42874</v>
      </c>
      <c r="G635" t="s">
        <v>645</v>
      </c>
      <c r="H635">
        <v>394.25</v>
      </c>
      <c r="I635" t="s">
        <v>7</v>
      </c>
      <c r="J635" t="str">
        <f t="shared" si="9"/>
        <v>May</v>
      </c>
    </row>
    <row r="636" spans="2:10" hidden="1" x14ac:dyDescent="0.25">
      <c r="B636">
        <v>10666</v>
      </c>
      <c r="C636" t="s">
        <v>230</v>
      </c>
      <c r="D636">
        <v>42990</v>
      </c>
      <c r="E636">
        <v>43018</v>
      </c>
      <c r="F636">
        <v>43000</v>
      </c>
      <c r="G636" t="s">
        <v>646</v>
      </c>
      <c r="H636">
        <v>1162.0999999999999</v>
      </c>
      <c r="I636" t="s">
        <v>7</v>
      </c>
      <c r="J636" t="str">
        <f t="shared" si="9"/>
        <v>Sep</v>
      </c>
    </row>
    <row r="637" spans="2:10" hidden="1" x14ac:dyDescent="0.25">
      <c r="B637">
        <v>10751</v>
      </c>
      <c r="C637" t="s">
        <v>230</v>
      </c>
      <c r="D637">
        <v>43063</v>
      </c>
      <c r="E637">
        <v>43091</v>
      </c>
      <c r="F637">
        <v>43072</v>
      </c>
      <c r="G637" t="s">
        <v>647</v>
      </c>
      <c r="H637">
        <v>653.94999999999993</v>
      </c>
      <c r="I637" t="s">
        <v>7</v>
      </c>
      <c r="J637" t="str">
        <f t="shared" si="9"/>
        <v>Nov</v>
      </c>
    </row>
    <row r="638" spans="2:10" hidden="1" x14ac:dyDescent="0.25">
      <c r="B638">
        <v>10758</v>
      </c>
      <c r="C638" t="s">
        <v>230</v>
      </c>
      <c r="D638">
        <v>43067</v>
      </c>
      <c r="E638">
        <v>43095</v>
      </c>
      <c r="F638">
        <v>43073</v>
      </c>
      <c r="G638" t="s">
        <v>647</v>
      </c>
      <c r="H638">
        <v>690.84999999999991</v>
      </c>
      <c r="I638" t="s">
        <v>7</v>
      </c>
      <c r="J638" t="str">
        <f t="shared" si="9"/>
        <v>Nov</v>
      </c>
    </row>
    <row r="639" spans="2:10" hidden="1" x14ac:dyDescent="0.25">
      <c r="B639">
        <v>10931</v>
      </c>
      <c r="C639" t="s">
        <v>230</v>
      </c>
      <c r="D639">
        <v>43165</v>
      </c>
      <c r="E639">
        <v>43179</v>
      </c>
      <c r="F639">
        <v>43178</v>
      </c>
      <c r="G639" t="s">
        <v>646</v>
      </c>
      <c r="H639">
        <v>68</v>
      </c>
      <c r="I639" t="s">
        <v>7</v>
      </c>
      <c r="J639" t="str">
        <f t="shared" si="9"/>
        <v>Mar</v>
      </c>
    </row>
    <row r="640" spans="2:10" hidden="1" x14ac:dyDescent="0.25">
      <c r="B640">
        <v>10951</v>
      </c>
      <c r="C640" t="s">
        <v>230</v>
      </c>
      <c r="D640">
        <v>43175</v>
      </c>
      <c r="E640">
        <v>43217</v>
      </c>
      <c r="F640">
        <v>43197</v>
      </c>
      <c r="G640" t="s">
        <v>646</v>
      </c>
      <c r="H640">
        <v>154.25</v>
      </c>
      <c r="I640" t="s">
        <v>7</v>
      </c>
      <c r="J640" t="str">
        <f t="shared" si="9"/>
        <v>Mar</v>
      </c>
    </row>
    <row r="641" spans="2:10" hidden="1" x14ac:dyDescent="0.25">
      <c r="B641">
        <v>11033</v>
      </c>
      <c r="C641" t="s">
        <v>230</v>
      </c>
      <c r="D641">
        <v>43207</v>
      </c>
      <c r="E641">
        <v>43235</v>
      </c>
      <c r="F641">
        <v>43213</v>
      </c>
      <c r="G641" t="s">
        <v>647</v>
      </c>
      <c r="H641">
        <v>423.7</v>
      </c>
      <c r="I641" t="s">
        <v>7</v>
      </c>
      <c r="J641" t="str">
        <f t="shared" si="9"/>
        <v>Apr</v>
      </c>
    </row>
    <row r="642" spans="2:10" hidden="1" x14ac:dyDescent="0.25">
      <c r="B642">
        <v>11075</v>
      </c>
      <c r="C642" t="s">
        <v>230</v>
      </c>
      <c r="D642">
        <v>43226</v>
      </c>
      <c r="E642">
        <v>43254</v>
      </c>
      <c r="F642"/>
      <c r="G642" t="s">
        <v>646</v>
      </c>
      <c r="H642">
        <v>30.950000000000003</v>
      </c>
      <c r="I642" t="s">
        <v>7</v>
      </c>
      <c r="J642" t="str">
        <f t="shared" si="9"/>
        <v>May</v>
      </c>
    </row>
    <row r="643" spans="2:10" hidden="1" x14ac:dyDescent="0.25">
      <c r="B643">
        <v>10281</v>
      </c>
      <c r="C643" t="s">
        <v>232</v>
      </c>
      <c r="D643">
        <v>42596</v>
      </c>
      <c r="E643">
        <v>42610</v>
      </c>
      <c r="F643">
        <v>42603</v>
      </c>
      <c r="G643" t="s">
        <v>645</v>
      </c>
      <c r="H643">
        <v>14.7</v>
      </c>
      <c r="I643" t="s">
        <v>373</v>
      </c>
      <c r="J643" t="str">
        <f t="shared" si="9"/>
        <v>Aug</v>
      </c>
    </row>
    <row r="644" spans="2:10" hidden="1" x14ac:dyDescent="0.25">
      <c r="B644">
        <v>10282</v>
      </c>
      <c r="C644" t="s">
        <v>232</v>
      </c>
      <c r="D644">
        <v>42597</v>
      </c>
      <c r="E644">
        <v>42625</v>
      </c>
      <c r="F644">
        <v>42603</v>
      </c>
      <c r="G644" t="s">
        <v>645</v>
      </c>
      <c r="H644">
        <v>63.449999999999996</v>
      </c>
      <c r="I644" t="s">
        <v>373</v>
      </c>
      <c r="J644" t="str">
        <f t="shared" si="9"/>
        <v>Aug</v>
      </c>
    </row>
    <row r="645" spans="2:10" hidden="1" x14ac:dyDescent="0.25">
      <c r="B645">
        <v>10306</v>
      </c>
      <c r="C645" t="s">
        <v>232</v>
      </c>
      <c r="D645">
        <v>42629</v>
      </c>
      <c r="E645">
        <v>42657</v>
      </c>
      <c r="F645">
        <v>42636</v>
      </c>
      <c r="G645" t="s">
        <v>647</v>
      </c>
      <c r="H645">
        <v>37.799999999999997</v>
      </c>
      <c r="I645" t="s">
        <v>373</v>
      </c>
      <c r="J645" t="str">
        <f t="shared" si="9"/>
        <v>Sep</v>
      </c>
    </row>
    <row r="646" spans="2:10" hidden="1" x14ac:dyDescent="0.25">
      <c r="B646">
        <v>10917</v>
      </c>
      <c r="C646" t="s">
        <v>232</v>
      </c>
      <c r="D646">
        <v>43161</v>
      </c>
      <c r="E646">
        <v>43189</v>
      </c>
      <c r="F646">
        <v>43170</v>
      </c>
      <c r="G646" t="s">
        <v>646</v>
      </c>
      <c r="H646">
        <v>41.449999999999996</v>
      </c>
      <c r="I646" t="s">
        <v>373</v>
      </c>
      <c r="J646" t="str">
        <f t="shared" si="9"/>
        <v>Mar</v>
      </c>
    </row>
    <row r="647" spans="2:10" hidden="1" x14ac:dyDescent="0.25">
      <c r="B647">
        <v>11013</v>
      </c>
      <c r="C647" t="s">
        <v>232</v>
      </c>
      <c r="D647">
        <v>43199</v>
      </c>
      <c r="E647">
        <v>43227</v>
      </c>
      <c r="F647">
        <v>43200</v>
      </c>
      <c r="G647" t="s">
        <v>645</v>
      </c>
      <c r="H647">
        <v>164.95000000000002</v>
      </c>
      <c r="I647" t="s">
        <v>373</v>
      </c>
      <c r="J647" t="str">
        <f t="shared" si="9"/>
        <v>Apr</v>
      </c>
    </row>
    <row r="648" spans="2:10" hidden="1" x14ac:dyDescent="0.25">
      <c r="B648">
        <v>10387</v>
      </c>
      <c r="C648" t="s">
        <v>235</v>
      </c>
      <c r="D648">
        <v>42722</v>
      </c>
      <c r="E648">
        <v>42750</v>
      </c>
      <c r="F648">
        <v>42724</v>
      </c>
      <c r="G648" t="s">
        <v>646</v>
      </c>
      <c r="H648">
        <v>468.15</v>
      </c>
      <c r="I648" t="s">
        <v>374</v>
      </c>
      <c r="J648" t="str">
        <f t="shared" si="9"/>
        <v>Dec</v>
      </c>
    </row>
    <row r="649" spans="2:10" hidden="1" x14ac:dyDescent="0.25">
      <c r="B649">
        <v>10520</v>
      </c>
      <c r="C649" t="s">
        <v>235</v>
      </c>
      <c r="D649">
        <v>42854</v>
      </c>
      <c r="E649">
        <v>42882</v>
      </c>
      <c r="F649">
        <v>42856</v>
      </c>
      <c r="G649" t="s">
        <v>645</v>
      </c>
      <c r="H649">
        <v>66.849999999999994</v>
      </c>
      <c r="I649" t="s">
        <v>374</v>
      </c>
      <c r="J649" t="str">
        <f t="shared" si="9"/>
        <v>Apr</v>
      </c>
    </row>
    <row r="650" spans="2:10" hidden="1" x14ac:dyDescent="0.25">
      <c r="B650">
        <v>10639</v>
      </c>
      <c r="C650" t="s">
        <v>235</v>
      </c>
      <c r="D650">
        <v>42967</v>
      </c>
      <c r="E650">
        <v>42995</v>
      </c>
      <c r="F650">
        <v>42974</v>
      </c>
      <c r="G650" t="s">
        <v>647</v>
      </c>
      <c r="H650">
        <v>193.2</v>
      </c>
      <c r="I650" t="s">
        <v>374</v>
      </c>
      <c r="J650" t="str">
        <f t="shared" si="9"/>
        <v>Aug</v>
      </c>
    </row>
    <row r="651" spans="2:10" hidden="1" x14ac:dyDescent="0.25">
      <c r="B651">
        <v>10831</v>
      </c>
      <c r="C651" t="s">
        <v>235</v>
      </c>
      <c r="D651">
        <v>43114</v>
      </c>
      <c r="E651">
        <v>43142</v>
      </c>
      <c r="F651">
        <v>43123</v>
      </c>
      <c r="G651" t="s">
        <v>646</v>
      </c>
      <c r="H651">
        <v>360.95</v>
      </c>
      <c r="I651" t="s">
        <v>374</v>
      </c>
      <c r="J651" t="str">
        <f t="shared" si="9"/>
        <v>Jan</v>
      </c>
    </row>
    <row r="652" spans="2:10" hidden="1" x14ac:dyDescent="0.25">
      <c r="B652">
        <v>10909</v>
      </c>
      <c r="C652" t="s">
        <v>235</v>
      </c>
      <c r="D652">
        <v>43157</v>
      </c>
      <c r="E652">
        <v>43185</v>
      </c>
      <c r="F652">
        <v>43169</v>
      </c>
      <c r="G652" t="s">
        <v>646</v>
      </c>
      <c r="H652">
        <v>265.25</v>
      </c>
      <c r="I652" t="s">
        <v>374</v>
      </c>
      <c r="J652" t="str">
        <f t="shared" si="9"/>
        <v>Feb</v>
      </c>
    </row>
    <row r="653" spans="2:10" hidden="1" x14ac:dyDescent="0.25">
      <c r="B653">
        <v>11015</v>
      </c>
      <c r="C653" t="s">
        <v>235</v>
      </c>
      <c r="D653">
        <v>43200</v>
      </c>
      <c r="E653">
        <v>43214</v>
      </c>
      <c r="F653">
        <v>43210</v>
      </c>
      <c r="G653" t="s">
        <v>646</v>
      </c>
      <c r="H653">
        <v>23.1</v>
      </c>
      <c r="I653" t="s">
        <v>374</v>
      </c>
      <c r="J653" t="str">
        <f t="shared" si="9"/>
        <v>Apr</v>
      </c>
    </row>
    <row r="654" spans="2:10" hidden="1" x14ac:dyDescent="0.25">
      <c r="B654">
        <v>10324</v>
      </c>
      <c r="C654" t="s">
        <v>238</v>
      </c>
      <c r="D654">
        <v>42651</v>
      </c>
      <c r="E654">
        <v>42679</v>
      </c>
      <c r="F654">
        <v>42653</v>
      </c>
      <c r="G654" t="s">
        <v>645</v>
      </c>
      <c r="H654">
        <v>1071.3500000000001</v>
      </c>
      <c r="I654" t="s">
        <v>375</v>
      </c>
      <c r="J654" t="str">
        <f t="shared" si="9"/>
        <v>Oct</v>
      </c>
    </row>
    <row r="655" spans="2:10" hidden="1" x14ac:dyDescent="0.25">
      <c r="B655">
        <v>10393</v>
      </c>
      <c r="C655" t="s">
        <v>238</v>
      </c>
      <c r="D655">
        <v>42729</v>
      </c>
      <c r="E655">
        <v>42757</v>
      </c>
      <c r="F655">
        <v>42738</v>
      </c>
      <c r="G655" t="s">
        <v>647</v>
      </c>
      <c r="H655">
        <v>632.79999999999995</v>
      </c>
      <c r="I655" t="s">
        <v>375</v>
      </c>
      <c r="J655" t="str">
        <f t="shared" si="9"/>
        <v>Dec</v>
      </c>
    </row>
    <row r="656" spans="2:10" hidden="1" x14ac:dyDescent="0.25">
      <c r="B656">
        <v>10398</v>
      </c>
      <c r="C656" t="s">
        <v>238</v>
      </c>
      <c r="D656">
        <v>42734</v>
      </c>
      <c r="E656">
        <v>42762</v>
      </c>
      <c r="F656">
        <v>42744</v>
      </c>
      <c r="G656" t="s">
        <v>647</v>
      </c>
      <c r="H656">
        <v>445.79999999999995</v>
      </c>
      <c r="I656" t="s">
        <v>375</v>
      </c>
      <c r="J656" t="str">
        <f t="shared" si="9"/>
        <v>Dec</v>
      </c>
    </row>
    <row r="657" spans="2:10" hidden="1" x14ac:dyDescent="0.25">
      <c r="B657">
        <v>10440</v>
      </c>
      <c r="C657" t="s">
        <v>238</v>
      </c>
      <c r="D657">
        <v>42776</v>
      </c>
      <c r="E657">
        <v>42804</v>
      </c>
      <c r="F657">
        <v>42794</v>
      </c>
      <c r="G657" t="s">
        <v>646</v>
      </c>
      <c r="H657">
        <v>432.65</v>
      </c>
      <c r="I657" t="s">
        <v>375</v>
      </c>
      <c r="J657" t="str">
        <f t="shared" ref="J657:J720" si="10">TEXT(D657,"mmm")</f>
        <v>Feb</v>
      </c>
    </row>
    <row r="658" spans="2:10" hidden="1" x14ac:dyDescent="0.25">
      <c r="B658">
        <v>10452</v>
      </c>
      <c r="C658" t="s">
        <v>238</v>
      </c>
      <c r="D658">
        <v>42786</v>
      </c>
      <c r="E658">
        <v>42814</v>
      </c>
      <c r="F658">
        <v>42792</v>
      </c>
      <c r="G658" t="s">
        <v>645</v>
      </c>
      <c r="H658">
        <v>701.3</v>
      </c>
      <c r="I658" t="s">
        <v>375</v>
      </c>
      <c r="J658" t="str">
        <f t="shared" si="10"/>
        <v>Feb</v>
      </c>
    </row>
    <row r="659" spans="2:10" hidden="1" x14ac:dyDescent="0.25">
      <c r="B659">
        <v>10510</v>
      </c>
      <c r="C659" t="s">
        <v>238</v>
      </c>
      <c r="D659">
        <v>42843</v>
      </c>
      <c r="E659">
        <v>42871</v>
      </c>
      <c r="F659">
        <v>42853</v>
      </c>
      <c r="G659" t="s">
        <v>647</v>
      </c>
      <c r="H659">
        <v>1838.15</v>
      </c>
      <c r="I659" t="s">
        <v>375</v>
      </c>
      <c r="J659" t="str">
        <f t="shared" si="10"/>
        <v>Apr</v>
      </c>
    </row>
    <row r="660" spans="2:10" hidden="1" x14ac:dyDescent="0.25">
      <c r="B660">
        <v>10555</v>
      </c>
      <c r="C660" t="s">
        <v>238</v>
      </c>
      <c r="D660">
        <v>42888</v>
      </c>
      <c r="E660">
        <v>42916</v>
      </c>
      <c r="F660">
        <v>42890</v>
      </c>
      <c r="G660" t="s">
        <v>647</v>
      </c>
      <c r="H660">
        <v>1262.45</v>
      </c>
      <c r="I660" t="s">
        <v>375</v>
      </c>
      <c r="J660" t="str">
        <f t="shared" si="10"/>
        <v>Jun</v>
      </c>
    </row>
    <row r="661" spans="2:10" hidden="1" x14ac:dyDescent="0.25">
      <c r="B661">
        <v>10603</v>
      </c>
      <c r="C661" t="s">
        <v>238</v>
      </c>
      <c r="D661">
        <v>42934</v>
      </c>
      <c r="E661">
        <v>42962</v>
      </c>
      <c r="F661">
        <v>42955</v>
      </c>
      <c r="G661" t="s">
        <v>646</v>
      </c>
      <c r="H661">
        <v>243.85000000000002</v>
      </c>
      <c r="I661" t="s">
        <v>375</v>
      </c>
      <c r="J661" t="str">
        <f t="shared" si="10"/>
        <v>Jul</v>
      </c>
    </row>
    <row r="662" spans="2:10" hidden="1" x14ac:dyDescent="0.25">
      <c r="B662">
        <v>10607</v>
      </c>
      <c r="C662" t="s">
        <v>238</v>
      </c>
      <c r="D662">
        <v>42938</v>
      </c>
      <c r="E662">
        <v>42966</v>
      </c>
      <c r="F662">
        <v>42941</v>
      </c>
      <c r="G662" t="s">
        <v>645</v>
      </c>
      <c r="H662">
        <v>1001.2</v>
      </c>
      <c r="I662" t="s">
        <v>375</v>
      </c>
      <c r="J662" t="str">
        <f t="shared" si="10"/>
        <v>Jul</v>
      </c>
    </row>
    <row r="663" spans="2:10" hidden="1" x14ac:dyDescent="0.25">
      <c r="B663">
        <v>10612</v>
      </c>
      <c r="C663" t="s">
        <v>238</v>
      </c>
      <c r="D663">
        <v>42944</v>
      </c>
      <c r="E663">
        <v>42972</v>
      </c>
      <c r="F663">
        <v>42948</v>
      </c>
      <c r="G663" t="s">
        <v>646</v>
      </c>
      <c r="H663">
        <v>2720.4</v>
      </c>
      <c r="I663" t="s">
        <v>375</v>
      </c>
      <c r="J663" t="str">
        <f t="shared" si="10"/>
        <v>Jul</v>
      </c>
    </row>
    <row r="664" spans="2:10" hidden="1" x14ac:dyDescent="0.25">
      <c r="B664">
        <v>10627</v>
      </c>
      <c r="C664" t="s">
        <v>238</v>
      </c>
      <c r="D664">
        <v>42958</v>
      </c>
      <c r="E664">
        <v>43000</v>
      </c>
      <c r="F664">
        <v>42968</v>
      </c>
      <c r="G664" t="s">
        <v>647</v>
      </c>
      <c r="H664">
        <v>537.29999999999995</v>
      </c>
      <c r="I664" t="s">
        <v>375</v>
      </c>
      <c r="J664" t="str">
        <f t="shared" si="10"/>
        <v>Aug</v>
      </c>
    </row>
    <row r="665" spans="2:10" hidden="1" x14ac:dyDescent="0.25">
      <c r="B665">
        <v>10657</v>
      </c>
      <c r="C665" t="s">
        <v>238</v>
      </c>
      <c r="D665">
        <v>42982</v>
      </c>
      <c r="E665">
        <v>43010</v>
      </c>
      <c r="F665">
        <v>42993</v>
      </c>
      <c r="G665" t="s">
        <v>646</v>
      </c>
      <c r="H665">
        <v>1763.45</v>
      </c>
      <c r="I665" t="s">
        <v>375</v>
      </c>
      <c r="J665" t="str">
        <f t="shared" si="10"/>
        <v>Sep</v>
      </c>
    </row>
    <row r="666" spans="2:10" hidden="1" x14ac:dyDescent="0.25">
      <c r="B666">
        <v>10678</v>
      </c>
      <c r="C666" t="s">
        <v>238</v>
      </c>
      <c r="D666">
        <v>43001</v>
      </c>
      <c r="E666">
        <v>43029</v>
      </c>
      <c r="F666">
        <v>43024</v>
      </c>
      <c r="G666" t="s">
        <v>647</v>
      </c>
      <c r="H666">
        <v>1944.9</v>
      </c>
      <c r="I666" t="s">
        <v>375</v>
      </c>
      <c r="J666" t="str">
        <f t="shared" si="10"/>
        <v>Sep</v>
      </c>
    </row>
    <row r="667" spans="2:10" hidden="1" x14ac:dyDescent="0.25">
      <c r="B667">
        <v>10700</v>
      </c>
      <c r="C667" t="s">
        <v>238</v>
      </c>
      <c r="D667">
        <v>43018</v>
      </c>
      <c r="E667">
        <v>43046</v>
      </c>
      <c r="F667">
        <v>43024</v>
      </c>
      <c r="G667" t="s">
        <v>645</v>
      </c>
      <c r="H667">
        <v>325.5</v>
      </c>
      <c r="I667" t="s">
        <v>375</v>
      </c>
      <c r="J667" t="str">
        <f t="shared" si="10"/>
        <v>Oct</v>
      </c>
    </row>
    <row r="668" spans="2:10" hidden="1" x14ac:dyDescent="0.25">
      <c r="B668">
        <v>10711</v>
      </c>
      <c r="C668" t="s">
        <v>238</v>
      </c>
      <c r="D668">
        <v>43029</v>
      </c>
      <c r="E668">
        <v>43071</v>
      </c>
      <c r="F668">
        <v>43037</v>
      </c>
      <c r="G668" t="s">
        <v>646</v>
      </c>
      <c r="H668">
        <v>262.04999999999995</v>
      </c>
      <c r="I668" t="s">
        <v>375</v>
      </c>
      <c r="J668" t="str">
        <f t="shared" si="10"/>
        <v>Oct</v>
      </c>
    </row>
    <row r="669" spans="2:10" hidden="1" x14ac:dyDescent="0.25">
      <c r="B669">
        <v>10713</v>
      </c>
      <c r="C669" t="s">
        <v>238</v>
      </c>
      <c r="D669">
        <v>43030</v>
      </c>
      <c r="E669">
        <v>43058</v>
      </c>
      <c r="F669">
        <v>43032</v>
      </c>
      <c r="G669" t="s">
        <v>645</v>
      </c>
      <c r="H669">
        <v>835.25</v>
      </c>
      <c r="I669" t="s">
        <v>375</v>
      </c>
      <c r="J669" t="str">
        <f t="shared" si="10"/>
        <v>Oct</v>
      </c>
    </row>
    <row r="670" spans="2:10" hidden="1" x14ac:dyDescent="0.25">
      <c r="B670">
        <v>10714</v>
      </c>
      <c r="C670" t="s">
        <v>238</v>
      </c>
      <c r="D670">
        <v>43030</v>
      </c>
      <c r="E670">
        <v>43058</v>
      </c>
      <c r="F670">
        <v>43035</v>
      </c>
      <c r="G670" t="s">
        <v>647</v>
      </c>
      <c r="H670">
        <v>122.44999999999999</v>
      </c>
      <c r="I670" t="s">
        <v>375</v>
      </c>
      <c r="J670" t="str">
        <f t="shared" si="10"/>
        <v>Oct</v>
      </c>
    </row>
    <row r="671" spans="2:10" hidden="1" x14ac:dyDescent="0.25">
      <c r="B671">
        <v>10722</v>
      </c>
      <c r="C671" t="s">
        <v>238</v>
      </c>
      <c r="D671">
        <v>43037</v>
      </c>
      <c r="E671">
        <v>43079</v>
      </c>
      <c r="F671">
        <v>43043</v>
      </c>
      <c r="G671" t="s">
        <v>645</v>
      </c>
      <c r="H671">
        <v>372.9</v>
      </c>
      <c r="I671" t="s">
        <v>375</v>
      </c>
      <c r="J671" t="str">
        <f t="shared" si="10"/>
        <v>Oct</v>
      </c>
    </row>
    <row r="672" spans="2:10" hidden="1" x14ac:dyDescent="0.25">
      <c r="B672">
        <v>10748</v>
      </c>
      <c r="C672" t="s">
        <v>238</v>
      </c>
      <c r="D672">
        <v>43059</v>
      </c>
      <c r="E672">
        <v>43087</v>
      </c>
      <c r="F672">
        <v>43067</v>
      </c>
      <c r="G672" t="s">
        <v>645</v>
      </c>
      <c r="H672">
        <v>1162.75</v>
      </c>
      <c r="I672" t="s">
        <v>375</v>
      </c>
      <c r="J672" t="str">
        <f t="shared" si="10"/>
        <v>Nov</v>
      </c>
    </row>
    <row r="673" spans="2:10" hidden="1" x14ac:dyDescent="0.25">
      <c r="B673">
        <v>10757</v>
      </c>
      <c r="C673" t="s">
        <v>238</v>
      </c>
      <c r="D673">
        <v>43066</v>
      </c>
      <c r="E673">
        <v>43094</v>
      </c>
      <c r="F673">
        <v>43084</v>
      </c>
      <c r="G673" t="s">
        <v>645</v>
      </c>
      <c r="H673">
        <v>40.949999999999996</v>
      </c>
      <c r="I673" t="s">
        <v>375</v>
      </c>
      <c r="J673" t="str">
        <f t="shared" si="10"/>
        <v>Nov</v>
      </c>
    </row>
    <row r="674" spans="2:10" hidden="1" x14ac:dyDescent="0.25">
      <c r="B674">
        <v>10815</v>
      </c>
      <c r="C674" t="s">
        <v>238</v>
      </c>
      <c r="D674">
        <v>43105</v>
      </c>
      <c r="E674">
        <v>43133</v>
      </c>
      <c r="F674">
        <v>43114</v>
      </c>
      <c r="G674" t="s">
        <v>647</v>
      </c>
      <c r="H674">
        <v>73.099999999999994</v>
      </c>
      <c r="I674" t="s">
        <v>375</v>
      </c>
      <c r="J674" t="str">
        <f t="shared" si="10"/>
        <v>Jan</v>
      </c>
    </row>
    <row r="675" spans="2:10" hidden="1" x14ac:dyDescent="0.25">
      <c r="B675">
        <v>10847</v>
      </c>
      <c r="C675" t="s">
        <v>238</v>
      </c>
      <c r="D675">
        <v>43122</v>
      </c>
      <c r="E675">
        <v>43136</v>
      </c>
      <c r="F675">
        <v>43141</v>
      </c>
      <c r="G675" t="s">
        <v>647</v>
      </c>
      <c r="H675">
        <v>2437.85</v>
      </c>
      <c r="I675" t="s">
        <v>375</v>
      </c>
      <c r="J675" t="str">
        <f t="shared" si="10"/>
        <v>Jan</v>
      </c>
    </row>
    <row r="676" spans="2:10" hidden="1" x14ac:dyDescent="0.25">
      <c r="B676">
        <v>10882</v>
      </c>
      <c r="C676" t="s">
        <v>238</v>
      </c>
      <c r="D676">
        <v>43142</v>
      </c>
      <c r="E676">
        <v>43170</v>
      </c>
      <c r="F676">
        <v>43151</v>
      </c>
      <c r="G676" t="s">
        <v>647</v>
      </c>
      <c r="H676">
        <v>115.5</v>
      </c>
      <c r="I676" t="s">
        <v>375</v>
      </c>
      <c r="J676" t="str">
        <f t="shared" si="10"/>
        <v>Feb</v>
      </c>
    </row>
    <row r="677" spans="2:10" hidden="1" x14ac:dyDescent="0.25">
      <c r="B677">
        <v>10894</v>
      </c>
      <c r="C677" t="s">
        <v>238</v>
      </c>
      <c r="D677">
        <v>43149</v>
      </c>
      <c r="E677">
        <v>43177</v>
      </c>
      <c r="F677">
        <v>43151</v>
      </c>
      <c r="G677" t="s">
        <v>645</v>
      </c>
      <c r="H677">
        <v>580.65</v>
      </c>
      <c r="I677" t="s">
        <v>375</v>
      </c>
      <c r="J677" t="str">
        <f t="shared" si="10"/>
        <v>Feb</v>
      </c>
    </row>
    <row r="678" spans="2:10" hidden="1" x14ac:dyDescent="0.25">
      <c r="B678">
        <v>10941</v>
      </c>
      <c r="C678" t="s">
        <v>238</v>
      </c>
      <c r="D678">
        <v>43170</v>
      </c>
      <c r="E678">
        <v>43198</v>
      </c>
      <c r="F678">
        <v>43179</v>
      </c>
      <c r="G678" t="s">
        <v>646</v>
      </c>
      <c r="H678">
        <v>2004.05</v>
      </c>
      <c r="I678" t="s">
        <v>375</v>
      </c>
      <c r="J678" t="str">
        <f t="shared" si="10"/>
        <v>Mar</v>
      </c>
    </row>
    <row r="679" spans="2:10" hidden="1" x14ac:dyDescent="0.25">
      <c r="B679">
        <v>10983</v>
      </c>
      <c r="C679" t="s">
        <v>238</v>
      </c>
      <c r="D679">
        <v>43186</v>
      </c>
      <c r="E679">
        <v>43214</v>
      </c>
      <c r="F679">
        <v>43196</v>
      </c>
      <c r="G679" t="s">
        <v>646</v>
      </c>
      <c r="H679">
        <v>3287.7</v>
      </c>
      <c r="I679" t="s">
        <v>375</v>
      </c>
      <c r="J679" t="str">
        <f t="shared" si="10"/>
        <v>Mar</v>
      </c>
    </row>
    <row r="680" spans="2:10" hidden="1" x14ac:dyDescent="0.25">
      <c r="B680">
        <v>10984</v>
      </c>
      <c r="C680" t="s">
        <v>238</v>
      </c>
      <c r="D680">
        <v>43189</v>
      </c>
      <c r="E680">
        <v>43217</v>
      </c>
      <c r="F680">
        <v>43193</v>
      </c>
      <c r="G680" t="s">
        <v>647</v>
      </c>
      <c r="H680">
        <v>1056.0999999999999</v>
      </c>
      <c r="I680" t="s">
        <v>375</v>
      </c>
      <c r="J680" t="str">
        <f t="shared" si="10"/>
        <v>Mar</v>
      </c>
    </row>
    <row r="681" spans="2:10" hidden="1" x14ac:dyDescent="0.25">
      <c r="B681">
        <v>11002</v>
      </c>
      <c r="C681" t="s">
        <v>238</v>
      </c>
      <c r="D681">
        <v>43196</v>
      </c>
      <c r="E681">
        <v>43224</v>
      </c>
      <c r="F681">
        <v>43206</v>
      </c>
      <c r="G681" t="s">
        <v>645</v>
      </c>
      <c r="H681">
        <v>705.8</v>
      </c>
      <c r="I681" t="s">
        <v>375</v>
      </c>
      <c r="J681" t="str">
        <f t="shared" si="10"/>
        <v>Apr</v>
      </c>
    </row>
    <row r="682" spans="2:10" hidden="1" x14ac:dyDescent="0.25">
      <c r="B682">
        <v>11030</v>
      </c>
      <c r="C682" t="s">
        <v>238</v>
      </c>
      <c r="D682">
        <v>43207</v>
      </c>
      <c r="E682">
        <v>43235</v>
      </c>
      <c r="F682">
        <v>43217</v>
      </c>
      <c r="G682" t="s">
        <v>646</v>
      </c>
      <c r="H682">
        <v>4153.75</v>
      </c>
      <c r="I682" t="s">
        <v>375</v>
      </c>
      <c r="J682" t="str">
        <f t="shared" si="10"/>
        <v>Apr</v>
      </c>
    </row>
    <row r="683" spans="2:10" hidden="1" x14ac:dyDescent="0.25">
      <c r="B683">
        <v>11031</v>
      </c>
      <c r="C683" t="s">
        <v>238</v>
      </c>
      <c r="D683">
        <v>43207</v>
      </c>
      <c r="E683">
        <v>43235</v>
      </c>
      <c r="F683">
        <v>43214</v>
      </c>
      <c r="G683" t="s">
        <v>646</v>
      </c>
      <c r="H683">
        <v>1136.0999999999999</v>
      </c>
      <c r="I683" t="s">
        <v>375</v>
      </c>
      <c r="J683" t="str">
        <f t="shared" si="10"/>
        <v>Apr</v>
      </c>
    </row>
    <row r="684" spans="2:10" hidden="1" x14ac:dyDescent="0.25">
      <c r="B684">
        <v>11064</v>
      </c>
      <c r="C684" t="s">
        <v>238</v>
      </c>
      <c r="D684">
        <v>43221</v>
      </c>
      <c r="E684">
        <v>43249</v>
      </c>
      <c r="F684">
        <v>43224</v>
      </c>
      <c r="G684" t="s">
        <v>645</v>
      </c>
      <c r="H684">
        <v>150.44999999999999</v>
      </c>
      <c r="I684" t="s">
        <v>375</v>
      </c>
      <c r="J684" t="str">
        <f t="shared" si="10"/>
        <v>May</v>
      </c>
    </row>
    <row r="685" spans="2:10" hidden="1" x14ac:dyDescent="0.25">
      <c r="B685">
        <v>10359</v>
      </c>
      <c r="C685" t="s">
        <v>241</v>
      </c>
      <c r="D685">
        <v>42695</v>
      </c>
      <c r="E685">
        <v>42723</v>
      </c>
      <c r="F685">
        <v>42700</v>
      </c>
      <c r="G685" t="s">
        <v>647</v>
      </c>
      <c r="H685">
        <v>1442.15</v>
      </c>
      <c r="I685" t="s">
        <v>6</v>
      </c>
      <c r="J685" t="str">
        <f t="shared" si="10"/>
        <v>Nov</v>
      </c>
    </row>
    <row r="686" spans="2:10" hidden="1" x14ac:dyDescent="0.25">
      <c r="B686">
        <v>10377</v>
      </c>
      <c r="C686" t="s">
        <v>241</v>
      </c>
      <c r="D686">
        <v>42713</v>
      </c>
      <c r="E686">
        <v>42741</v>
      </c>
      <c r="F686">
        <v>42717</v>
      </c>
      <c r="G686" t="s">
        <v>647</v>
      </c>
      <c r="H686">
        <v>111.05000000000001</v>
      </c>
      <c r="I686" t="s">
        <v>6</v>
      </c>
      <c r="J686" t="str">
        <f t="shared" si="10"/>
        <v>Dec</v>
      </c>
    </row>
    <row r="687" spans="2:10" hidden="1" x14ac:dyDescent="0.25">
      <c r="B687">
        <v>10388</v>
      </c>
      <c r="C687" t="s">
        <v>241</v>
      </c>
      <c r="D687">
        <v>42723</v>
      </c>
      <c r="E687">
        <v>42751</v>
      </c>
      <c r="F687">
        <v>42724</v>
      </c>
      <c r="G687" t="s">
        <v>645</v>
      </c>
      <c r="H687">
        <v>174.3</v>
      </c>
      <c r="I687" t="s">
        <v>6</v>
      </c>
      <c r="J687" t="str">
        <f t="shared" si="10"/>
        <v>Dec</v>
      </c>
    </row>
    <row r="688" spans="2:10" hidden="1" x14ac:dyDescent="0.25">
      <c r="B688">
        <v>10472</v>
      </c>
      <c r="C688" t="s">
        <v>241</v>
      </c>
      <c r="D688">
        <v>42806</v>
      </c>
      <c r="E688">
        <v>42834</v>
      </c>
      <c r="F688">
        <v>42813</v>
      </c>
      <c r="G688" t="s">
        <v>645</v>
      </c>
      <c r="H688">
        <v>21</v>
      </c>
      <c r="I688" t="s">
        <v>6</v>
      </c>
      <c r="J688" t="str">
        <f t="shared" si="10"/>
        <v>Mar</v>
      </c>
    </row>
    <row r="689" spans="2:10" hidden="1" x14ac:dyDescent="0.25">
      <c r="B689">
        <v>10523</v>
      </c>
      <c r="C689" t="s">
        <v>241</v>
      </c>
      <c r="D689">
        <v>42856</v>
      </c>
      <c r="E689">
        <v>42884</v>
      </c>
      <c r="F689">
        <v>42885</v>
      </c>
      <c r="G689" t="s">
        <v>646</v>
      </c>
      <c r="H689">
        <v>388.15</v>
      </c>
      <c r="I689" t="s">
        <v>6</v>
      </c>
      <c r="J689" t="str">
        <f t="shared" si="10"/>
        <v>May</v>
      </c>
    </row>
    <row r="690" spans="2:10" hidden="1" x14ac:dyDescent="0.25">
      <c r="B690">
        <v>10547</v>
      </c>
      <c r="C690" t="s">
        <v>241</v>
      </c>
      <c r="D690">
        <v>42878</v>
      </c>
      <c r="E690">
        <v>42906</v>
      </c>
      <c r="F690">
        <v>42888</v>
      </c>
      <c r="G690" t="s">
        <v>646</v>
      </c>
      <c r="H690">
        <v>892.15000000000009</v>
      </c>
      <c r="I690" t="s">
        <v>6</v>
      </c>
      <c r="J690" t="str">
        <f t="shared" si="10"/>
        <v>May</v>
      </c>
    </row>
    <row r="691" spans="2:10" hidden="1" x14ac:dyDescent="0.25">
      <c r="B691">
        <v>10800</v>
      </c>
      <c r="C691" t="s">
        <v>241</v>
      </c>
      <c r="D691">
        <v>43095</v>
      </c>
      <c r="E691">
        <v>43123</v>
      </c>
      <c r="F691">
        <v>43105</v>
      </c>
      <c r="G691" t="s">
        <v>647</v>
      </c>
      <c r="H691">
        <v>687.2</v>
      </c>
      <c r="I691" t="s">
        <v>6</v>
      </c>
      <c r="J691" t="str">
        <f t="shared" si="10"/>
        <v>Dec</v>
      </c>
    </row>
    <row r="692" spans="2:10" hidden="1" x14ac:dyDescent="0.25">
      <c r="B692">
        <v>10804</v>
      </c>
      <c r="C692" t="s">
        <v>241</v>
      </c>
      <c r="D692">
        <v>43099</v>
      </c>
      <c r="E692">
        <v>43127</v>
      </c>
      <c r="F692">
        <v>43107</v>
      </c>
      <c r="G692" t="s">
        <v>646</v>
      </c>
      <c r="H692">
        <v>136.64999999999998</v>
      </c>
      <c r="I692" t="s">
        <v>6</v>
      </c>
      <c r="J692" t="str">
        <f t="shared" si="10"/>
        <v>Dec</v>
      </c>
    </row>
    <row r="693" spans="2:10" hidden="1" x14ac:dyDescent="0.25">
      <c r="B693">
        <v>10869</v>
      </c>
      <c r="C693" t="s">
        <v>241</v>
      </c>
      <c r="D693">
        <v>43135</v>
      </c>
      <c r="E693">
        <v>43163</v>
      </c>
      <c r="F693">
        <v>43140</v>
      </c>
      <c r="G693" t="s">
        <v>645</v>
      </c>
      <c r="H693">
        <v>716.4</v>
      </c>
      <c r="I693" t="s">
        <v>6</v>
      </c>
      <c r="J693" t="str">
        <f t="shared" si="10"/>
        <v>Feb</v>
      </c>
    </row>
    <row r="694" spans="2:10" hidden="1" x14ac:dyDescent="0.25">
      <c r="B694">
        <v>10341</v>
      </c>
      <c r="C694" t="s">
        <v>244</v>
      </c>
      <c r="D694">
        <v>42672</v>
      </c>
      <c r="E694">
        <v>42700</v>
      </c>
      <c r="F694">
        <v>42679</v>
      </c>
      <c r="G694" t="s">
        <v>647</v>
      </c>
      <c r="H694">
        <v>133.9</v>
      </c>
      <c r="I694" t="s">
        <v>5</v>
      </c>
      <c r="J694" t="str">
        <f t="shared" si="10"/>
        <v>Oct</v>
      </c>
    </row>
    <row r="695" spans="2:10" hidden="1" x14ac:dyDescent="0.25">
      <c r="B695">
        <v>10417</v>
      </c>
      <c r="C695" t="s">
        <v>244</v>
      </c>
      <c r="D695">
        <v>42751</v>
      </c>
      <c r="E695">
        <v>42779</v>
      </c>
      <c r="F695">
        <v>42763</v>
      </c>
      <c r="G695" t="s">
        <v>647</v>
      </c>
      <c r="H695">
        <v>351.45000000000005</v>
      </c>
      <c r="I695" t="s">
        <v>5</v>
      </c>
      <c r="J695" t="str">
        <f t="shared" si="10"/>
        <v>Jan</v>
      </c>
    </row>
    <row r="696" spans="2:10" hidden="1" x14ac:dyDescent="0.25">
      <c r="B696">
        <v>10556</v>
      </c>
      <c r="C696" t="s">
        <v>244</v>
      </c>
      <c r="D696">
        <v>42889</v>
      </c>
      <c r="E696">
        <v>42931</v>
      </c>
      <c r="F696">
        <v>42899</v>
      </c>
      <c r="G696" t="s">
        <v>645</v>
      </c>
      <c r="H696">
        <v>49</v>
      </c>
      <c r="I696" t="s">
        <v>5</v>
      </c>
      <c r="J696" t="str">
        <f t="shared" si="10"/>
        <v>Jun</v>
      </c>
    </row>
    <row r="697" spans="2:10" hidden="1" x14ac:dyDescent="0.25">
      <c r="B697">
        <v>10642</v>
      </c>
      <c r="C697" t="s">
        <v>244</v>
      </c>
      <c r="D697">
        <v>42969</v>
      </c>
      <c r="E697">
        <v>42997</v>
      </c>
      <c r="F697">
        <v>42983</v>
      </c>
      <c r="G697" t="s">
        <v>647</v>
      </c>
      <c r="H697">
        <v>209.45</v>
      </c>
      <c r="I697" t="s">
        <v>5</v>
      </c>
      <c r="J697" t="str">
        <f t="shared" si="10"/>
        <v>Aug</v>
      </c>
    </row>
    <row r="698" spans="2:10" hidden="1" x14ac:dyDescent="0.25">
      <c r="B698">
        <v>10669</v>
      </c>
      <c r="C698" t="s">
        <v>244</v>
      </c>
      <c r="D698">
        <v>42993</v>
      </c>
      <c r="E698">
        <v>43021</v>
      </c>
      <c r="F698">
        <v>43000</v>
      </c>
      <c r="G698" t="s">
        <v>645</v>
      </c>
      <c r="H698">
        <v>121.95</v>
      </c>
      <c r="I698" t="s">
        <v>5</v>
      </c>
      <c r="J698" t="str">
        <f t="shared" si="10"/>
        <v>Sep</v>
      </c>
    </row>
    <row r="699" spans="2:10" hidden="1" x14ac:dyDescent="0.25">
      <c r="B699">
        <v>10802</v>
      </c>
      <c r="C699" t="s">
        <v>244</v>
      </c>
      <c r="D699">
        <v>43098</v>
      </c>
      <c r="E699">
        <v>43126</v>
      </c>
      <c r="F699">
        <v>43102</v>
      </c>
      <c r="G699" t="s">
        <v>646</v>
      </c>
      <c r="H699">
        <v>1286.3</v>
      </c>
      <c r="I699" t="s">
        <v>5</v>
      </c>
      <c r="J699" t="str">
        <f t="shared" si="10"/>
        <v>Dec</v>
      </c>
    </row>
    <row r="700" spans="2:10" hidden="1" x14ac:dyDescent="0.25">
      <c r="B700">
        <v>11074</v>
      </c>
      <c r="C700" t="s">
        <v>244</v>
      </c>
      <c r="D700">
        <v>43226</v>
      </c>
      <c r="E700">
        <v>43254</v>
      </c>
      <c r="F700"/>
      <c r="G700" t="s">
        <v>646</v>
      </c>
      <c r="H700">
        <v>92.2</v>
      </c>
      <c r="I700" t="s">
        <v>5</v>
      </c>
      <c r="J700" t="str">
        <f t="shared" si="10"/>
        <v>May</v>
      </c>
    </row>
    <row r="701" spans="2:10" hidden="1" x14ac:dyDescent="0.25">
      <c r="B701">
        <v>10738</v>
      </c>
      <c r="C701" t="s">
        <v>247</v>
      </c>
      <c r="D701">
        <v>43051</v>
      </c>
      <c r="E701">
        <v>43079</v>
      </c>
      <c r="F701">
        <v>43057</v>
      </c>
      <c r="G701" t="s">
        <v>645</v>
      </c>
      <c r="H701">
        <v>14.55</v>
      </c>
      <c r="I701" t="s">
        <v>376</v>
      </c>
      <c r="J701" t="str">
        <f t="shared" si="10"/>
        <v>Nov</v>
      </c>
    </row>
    <row r="702" spans="2:10" hidden="1" x14ac:dyDescent="0.25">
      <c r="B702">
        <v>10907</v>
      </c>
      <c r="C702" t="s">
        <v>247</v>
      </c>
      <c r="D702">
        <v>43156</v>
      </c>
      <c r="E702">
        <v>43184</v>
      </c>
      <c r="F702">
        <v>43158</v>
      </c>
      <c r="G702" t="s">
        <v>647</v>
      </c>
      <c r="H702">
        <v>45.949999999999996</v>
      </c>
      <c r="I702" t="s">
        <v>376</v>
      </c>
      <c r="J702" t="str">
        <f t="shared" si="10"/>
        <v>Feb</v>
      </c>
    </row>
    <row r="703" spans="2:10" hidden="1" x14ac:dyDescent="0.25">
      <c r="B703">
        <v>10964</v>
      </c>
      <c r="C703" t="s">
        <v>247</v>
      </c>
      <c r="D703">
        <v>43179</v>
      </c>
      <c r="E703">
        <v>43207</v>
      </c>
      <c r="F703">
        <v>43183</v>
      </c>
      <c r="G703" t="s">
        <v>646</v>
      </c>
      <c r="H703">
        <v>436.9</v>
      </c>
      <c r="I703" t="s">
        <v>376</v>
      </c>
      <c r="J703" t="str">
        <f t="shared" si="10"/>
        <v>Mar</v>
      </c>
    </row>
    <row r="704" spans="2:10" hidden="1" x14ac:dyDescent="0.25">
      <c r="B704">
        <v>11043</v>
      </c>
      <c r="C704" t="s">
        <v>247</v>
      </c>
      <c r="D704">
        <v>43212</v>
      </c>
      <c r="E704">
        <v>43240</v>
      </c>
      <c r="F704">
        <v>43219</v>
      </c>
      <c r="G704" t="s">
        <v>646</v>
      </c>
      <c r="H704">
        <v>44</v>
      </c>
      <c r="I704" t="s">
        <v>376</v>
      </c>
      <c r="J704" t="str">
        <f t="shared" si="10"/>
        <v>Apr</v>
      </c>
    </row>
    <row r="705" spans="2:10" hidden="1" x14ac:dyDescent="0.25">
      <c r="B705">
        <v>10271</v>
      </c>
      <c r="C705" t="s">
        <v>250</v>
      </c>
      <c r="D705">
        <v>42583</v>
      </c>
      <c r="E705">
        <v>42611</v>
      </c>
      <c r="F705">
        <v>42612</v>
      </c>
      <c r="G705" t="s">
        <v>646</v>
      </c>
      <c r="H705">
        <v>22.7</v>
      </c>
      <c r="I705" t="s">
        <v>377</v>
      </c>
      <c r="J705" t="str">
        <f t="shared" si="10"/>
        <v>Aug</v>
      </c>
    </row>
    <row r="706" spans="2:10" hidden="1" x14ac:dyDescent="0.25">
      <c r="B706">
        <v>10329</v>
      </c>
      <c r="C706" t="s">
        <v>250</v>
      </c>
      <c r="D706">
        <v>42658</v>
      </c>
      <c r="E706">
        <v>42700</v>
      </c>
      <c r="F706">
        <v>42666</v>
      </c>
      <c r="G706" t="s">
        <v>646</v>
      </c>
      <c r="H706">
        <v>958.34999999999991</v>
      </c>
      <c r="I706" t="s">
        <v>377</v>
      </c>
      <c r="J706" t="str">
        <f t="shared" si="10"/>
        <v>Oct</v>
      </c>
    </row>
    <row r="707" spans="2:10" hidden="1" x14ac:dyDescent="0.25">
      <c r="B707">
        <v>10349</v>
      </c>
      <c r="C707" t="s">
        <v>250</v>
      </c>
      <c r="D707">
        <v>42682</v>
      </c>
      <c r="E707">
        <v>42710</v>
      </c>
      <c r="F707">
        <v>42689</v>
      </c>
      <c r="G707" t="s">
        <v>645</v>
      </c>
      <c r="H707">
        <v>43.150000000000006</v>
      </c>
      <c r="I707" t="s">
        <v>377</v>
      </c>
      <c r="J707" t="str">
        <f t="shared" si="10"/>
        <v>Nov</v>
      </c>
    </row>
    <row r="708" spans="2:10" hidden="1" x14ac:dyDescent="0.25">
      <c r="B708">
        <v>10369</v>
      </c>
      <c r="C708" t="s">
        <v>250</v>
      </c>
      <c r="D708">
        <v>42706</v>
      </c>
      <c r="E708">
        <v>42734</v>
      </c>
      <c r="F708">
        <v>42713</v>
      </c>
      <c r="G708" t="s">
        <v>646</v>
      </c>
      <c r="H708">
        <v>978.40000000000009</v>
      </c>
      <c r="I708" t="s">
        <v>377</v>
      </c>
      <c r="J708" t="str">
        <f t="shared" si="10"/>
        <v>Dec</v>
      </c>
    </row>
    <row r="709" spans="2:10" hidden="1" x14ac:dyDescent="0.25">
      <c r="B709">
        <v>10385</v>
      </c>
      <c r="C709" t="s">
        <v>250</v>
      </c>
      <c r="D709">
        <v>42721</v>
      </c>
      <c r="E709">
        <v>42749</v>
      </c>
      <c r="F709">
        <v>42727</v>
      </c>
      <c r="G709" t="s">
        <v>646</v>
      </c>
      <c r="H709">
        <v>154.80000000000001</v>
      </c>
      <c r="I709" t="s">
        <v>377</v>
      </c>
      <c r="J709" t="str">
        <f t="shared" si="10"/>
        <v>Dec</v>
      </c>
    </row>
    <row r="710" spans="2:10" hidden="1" x14ac:dyDescent="0.25">
      <c r="B710">
        <v>10432</v>
      </c>
      <c r="C710" t="s">
        <v>250</v>
      </c>
      <c r="D710">
        <v>42766</v>
      </c>
      <c r="E710">
        <v>42780</v>
      </c>
      <c r="F710">
        <v>42773</v>
      </c>
      <c r="G710" t="s">
        <v>646</v>
      </c>
      <c r="H710">
        <v>21.7</v>
      </c>
      <c r="I710" t="s">
        <v>377</v>
      </c>
      <c r="J710" t="str">
        <f t="shared" si="10"/>
        <v>Jan</v>
      </c>
    </row>
    <row r="711" spans="2:10" hidden="1" x14ac:dyDescent="0.25">
      <c r="B711">
        <v>10756</v>
      </c>
      <c r="C711" t="s">
        <v>250</v>
      </c>
      <c r="D711">
        <v>43066</v>
      </c>
      <c r="E711">
        <v>43094</v>
      </c>
      <c r="F711">
        <v>43071</v>
      </c>
      <c r="G711" t="s">
        <v>646</v>
      </c>
      <c r="H711">
        <v>366.04999999999995</v>
      </c>
      <c r="I711" t="s">
        <v>377</v>
      </c>
      <c r="J711" t="str">
        <f t="shared" si="10"/>
        <v>Nov</v>
      </c>
    </row>
    <row r="712" spans="2:10" hidden="1" x14ac:dyDescent="0.25">
      <c r="B712">
        <v>10821</v>
      </c>
      <c r="C712" t="s">
        <v>250</v>
      </c>
      <c r="D712">
        <v>43108</v>
      </c>
      <c r="E712">
        <v>43136</v>
      </c>
      <c r="F712">
        <v>43115</v>
      </c>
      <c r="G712" t="s">
        <v>645</v>
      </c>
      <c r="H712">
        <v>183.4</v>
      </c>
      <c r="I712" t="s">
        <v>377</v>
      </c>
      <c r="J712" t="str">
        <f t="shared" si="10"/>
        <v>Jan</v>
      </c>
    </row>
    <row r="713" spans="2:10" hidden="1" x14ac:dyDescent="0.25">
      <c r="B713">
        <v>10974</v>
      </c>
      <c r="C713" t="s">
        <v>250</v>
      </c>
      <c r="D713">
        <v>43184</v>
      </c>
      <c r="E713">
        <v>43198</v>
      </c>
      <c r="F713">
        <v>43193</v>
      </c>
      <c r="G713" t="s">
        <v>647</v>
      </c>
      <c r="H713">
        <v>64.800000000000011</v>
      </c>
      <c r="I713" t="s">
        <v>377</v>
      </c>
      <c r="J713" t="str">
        <f t="shared" si="10"/>
        <v>Mar</v>
      </c>
    </row>
    <row r="714" spans="2:10" hidden="1" x14ac:dyDescent="0.25">
      <c r="B714">
        <v>10252</v>
      </c>
      <c r="C714" t="s">
        <v>254</v>
      </c>
      <c r="D714">
        <v>42560</v>
      </c>
      <c r="E714">
        <v>42588</v>
      </c>
      <c r="F714">
        <v>42562</v>
      </c>
      <c r="G714" t="s">
        <v>646</v>
      </c>
      <c r="H714">
        <v>256.5</v>
      </c>
      <c r="I714" t="s">
        <v>378</v>
      </c>
      <c r="J714" t="str">
        <f t="shared" si="10"/>
        <v>Jul</v>
      </c>
    </row>
    <row r="715" spans="2:10" hidden="1" x14ac:dyDescent="0.25">
      <c r="B715">
        <v>10302</v>
      </c>
      <c r="C715" t="s">
        <v>254</v>
      </c>
      <c r="D715">
        <v>42623</v>
      </c>
      <c r="E715">
        <v>42651</v>
      </c>
      <c r="F715">
        <v>42652</v>
      </c>
      <c r="G715" t="s">
        <v>646</v>
      </c>
      <c r="H715">
        <v>31.349999999999998</v>
      </c>
      <c r="I715" t="s">
        <v>378</v>
      </c>
      <c r="J715" t="str">
        <f t="shared" si="10"/>
        <v>Sep</v>
      </c>
    </row>
    <row r="716" spans="2:10" hidden="1" x14ac:dyDescent="0.25">
      <c r="B716">
        <v>10458</v>
      </c>
      <c r="C716" t="s">
        <v>254</v>
      </c>
      <c r="D716">
        <v>42792</v>
      </c>
      <c r="E716">
        <v>42820</v>
      </c>
      <c r="F716">
        <v>42798</v>
      </c>
      <c r="G716" t="s">
        <v>647</v>
      </c>
      <c r="H716">
        <v>735.3</v>
      </c>
      <c r="I716" t="s">
        <v>378</v>
      </c>
      <c r="J716" t="str">
        <f t="shared" si="10"/>
        <v>Feb</v>
      </c>
    </row>
    <row r="717" spans="2:10" hidden="1" x14ac:dyDescent="0.25">
      <c r="B717">
        <v>10463</v>
      </c>
      <c r="C717" t="s">
        <v>254</v>
      </c>
      <c r="D717">
        <v>42798</v>
      </c>
      <c r="E717">
        <v>42826</v>
      </c>
      <c r="F717">
        <v>42800</v>
      </c>
      <c r="G717" t="s">
        <v>647</v>
      </c>
      <c r="H717">
        <v>73.899999999999991</v>
      </c>
      <c r="I717" t="s">
        <v>378</v>
      </c>
      <c r="J717" t="str">
        <f t="shared" si="10"/>
        <v>Mar</v>
      </c>
    </row>
    <row r="718" spans="2:10" hidden="1" x14ac:dyDescent="0.25">
      <c r="B718">
        <v>10475</v>
      </c>
      <c r="C718" t="s">
        <v>254</v>
      </c>
      <c r="D718">
        <v>42808</v>
      </c>
      <c r="E718">
        <v>42836</v>
      </c>
      <c r="F718">
        <v>42829</v>
      </c>
      <c r="G718" t="s">
        <v>645</v>
      </c>
      <c r="H718">
        <v>342.59999999999997</v>
      </c>
      <c r="I718" t="s">
        <v>378</v>
      </c>
      <c r="J718" t="str">
        <f t="shared" si="10"/>
        <v>Mar</v>
      </c>
    </row>
    <row r="719" spans="2:10" hidden="1" x14ac:dyDescent="0.25">
      <c r="B719">
        <v>10767</v>
      </c>
      <c r="C719" t="s">
        <v>254</v>
      </c>
      <c r="D719">
        <v>43074</v>
      </c>
      <c r="E719">
        <v>43102</v>
      </c>
      <c r="F719">
        <v>43084</v>
      </c>
      <c r="G719" t="s">
        <v>647</v>
      </c>
      <c r="H719">
        <v>7.95</v>
      </c>
      <c r="I719" t="s">
        <v>378</v>
      </c>
      <c r="J719" t="str">
        <f t="shared" si="10"/>
        <v>Dec</v>
      </c>
    </row>
    <row r="720" spans="2:10" hidden="1" x14ac:dyDescent="0.25">
      <c r="B720">
        <v>10841</v>
      </c>
      <c r="C720" t="s">
        <v>254</v>
      </c>
      <c r="D720">
        <v>43120</v>
      </c>
      <c r="E720">
        <v>43148</v>
      </c>
      <c r="F720">
        <v>43129</v>
      </c>
      <c r="G720" t="s">
        <v>646</v>
      </c>
      <c r="H720">
        <v>2121.5</v>
      </c>
      <c r="I720" t="s">
        <v>378</v>
      </c>
      <c r="J720" t="str">
        <f t="shared" si="10"/>
        <v>Jan</v>
      </c>
    </row>
    <row r="721" spans="2:10" hidden="1" x14ac:dyDescent="0.25">
      <c r="B721">
        <v>10846</v>
      </c>
      <c r="C721" t="s">
        <v>254</v>
      </c>
      <c r="D721">
        <v>43122</v>
      </c>
      <c r="E721">
        <v>43164</v>
      </c>
      <c r="F721">
        <v>43123</v>
      </c>
      <c r="G721" t="s">
        <v>647</v>
      </c>
      <c r="H721">
        <v>282.3</v>
      </c>
      <c r="I721" t="s">
        <v>378</v>
      </c>
      <c r="J721" t="str">
        <f t="shared" ref="J721:J784" si="11">TEXT(D721,"mmm")</f>
        <v>Jan</v>
      </c>
    </row>
    <row r="722" spans="2:10" hidden="1" x14ac:dyDescent="0.25">
      <c r="B722">
        <v>10885</v>
      </c>
      <c r="C722" t="s">
        <v>254</v>
      </c>
      <c r="D722">
        <v>43143</v>
      </c>
      <c r="E722">
        <v>43171</v>
      </c>
      <c r="F722">
        <v>43149</v>
      </c>
      <c r="G722" t="s">
        <v>647</v>
      </c>
      <c r="H722">
        <v>28.2</v>
      </c>
      <c r="I722" t="s">
        <v>378</v>
      </c>
      <c r="J722" t="str">
        <f t="shared" si="11"/>
        <v>Feb</v>
      </c>
    </row>
    <row r="723" spans="2:10" hidden="1" x14ac:dyDescent="0.25">
      <c r="B723">
        <v>10930</v>
      </c>
      <c r="C723" t="s">
        <v>254</v>
      </c>
      <c r="D723">
        <v>43165</v>
      </c>
      <c r="E723">
        <v>43207</v>
      </c>
      <c r="F723">
        <v>43177</v>
      </c>
      <c r="G723" t="s">
        <v>647</v>
      </c>
      <c r="H723">
        <v>77.75</v>
      </c>
      <c r="I723" t="s">
        <v>378</v>
      </c>
      <c r="J723" t="str">
        <f t="shared" si="11"/>
        <v>Mar</v>
      </c>
    </row>
    <row r="724" spans="2:10" hidden="1" x14ac:dyDescent="0.25">
      <c r="B724">
        <v>11035</v>
      </c>
      <c r="C724" t="s">
        <v>254</v>
      </c>
      <c r="D724">
        <v>43210</v>
      </c>
      <c r="E724">
        <v>43238</v>
      </c>
      <c r="F724">
        <v>43214</v>
      </c>
      <c r="G724" t="s">
        <v>646</v>
      </c>
      <c r="H724">
        <v>0.85000000000000009</v>
      </c>
      <c r="I724" t="s">
        <v>378</v>
      </c>
      <c r="J724" t="str">
        <f t="shared" si="11"/>
        <v>Apr</v>
      </c>
    </row>
    <row r="725" spans="2:10" hidden="1" x14ac:dyDescent="0.25">
      <c r="B725">
        <v>11038</v>
      </c>
      <c r="C725" t="s">
        <v>254</v>
      </c>
      <c r="D725">
        <v>43211</v>
      </c>
      <c r="E725">
        <v>43239</v>
      </c>
      <c r="F725">
        <v>43220</v>
      </c>
      <c r="G725" t="s">
        <v>646</v>
      </c>
      <c r="H725">
        <v>147.94999999999999</v>
      </c>
      <c r="I725" t="s">
        <v>378</v>
      </c>
      <c r="J725" t="str">
        <f t="shared" si="11"/>
        <v>Apr</v>
      </c>
    </row>
    <row r="726" spans="2:10" hidden="1" x14ac:dyDescent="0.25">
      <c r="B726">
        <v>10310</v>
      </c>
      <c r="C726" t="s">
        <v>257</v>
      </c>
      <c r="D726">
        <v>42633</v>
      </c>
      <c r="E726">
        <v>42661</v>
      </c>
      <c r="F726">
        <v>42640</v>
      </c>
      <c r="G726" t="s">
        <v>646</v>
      </c>
      <c r="H726">
        <v>87.6</v>
      </c>
      <c r="I726" t="s">
        <v>4</v>
      </c>
      <c r="J726" t="str">
        <f t="shared" si="11"/>
        <v>Sep</v>
      </c>
    </row>
    <row r="727" spans="2:10" hidden="1" x14ac:dyDescent="0.25">
      <c r="B727">
        <v>10708</v>
      </c>
      <c r="C727" t="s">
        <v>257</v>
      </c>
      <c r="D727">
        <v>43025</v>
      </c>
      <c r="E727">
        <v>43067</v>
      </c>
      <c r="F727">
        <v>43044</v>
      </c>
      <c r="G727" t="s">
        <v>646</v>
      </c>
      <c r="H727">
        <v>14.8</v>
      </c>
      <c r="I727" t="s">
        <v>4</v>
      </c>
      <c r="J727" t="str">
        <f t="shared" si="11"/>
        <v>Oct</v>
      </c>
    </row>
    <row r="728" spans="2:10" hidden="1" x14ac:dyDescent="0.25">
      <c r="B728">
        <v>10805</v>
      </c>
      <c r="C728" t="s">
        <v>257</v>
      </c>
      <c r="D728">
        <v>43099</v>
      </c>
      <c r="E728">
        <v>43127</v>
      </c>
      <c r="F728">
        <v>43109</v>
      </c>
      <c r="G728" t="s">
        <v>647</v>
      </c>
      <c r="H728">
        <v>1186.7</v>
      </c>
      <c r="I728" t="s">
        <v>4</v>
      </c>
      <c r="J728" t="str">
        <f t="shared" si="11"/>
        <v>Dec</v>
      </c>
    </row>
    <row r="729" spans="2:10" hidden="1" x14ac:dyDescent="0.25">
      <c r="B729">
        <v>10992</v>
      </c>
      <c r="C729" t="s">
        <v>257</v>
      </c>
      <c r="D729">
        <v>43191</v>
      </c>
      <c r="E729">
        <v>43219</v>
      </c>
      <c r="F729">
        <v>43193</v>
      </c>
      <c r="G729" t="s">
        <v>647</v>
      </c>
      <c r="H729">
        <v>21.349999999999998</v>
      </c>
      <c r="I729" t="s">
        <v>4</v>
      </c>
      <c r="J729" t="str">
        <f t="shared" si="11"/>
        <v>Apr</v>
      </c>
    </row>
    <row r="730" spans="2:10" hidden="1" x14ac:dyDescent="0.25">
      <c r="B730">
        <v>10624</v>
      </c>
      <c r="C730" t="s">
        <v>259</v>
      </c>
      <c r="D730">
        <v>42954</v>
      </c>
      <c r="E730">
        <v>42982</v>
      </c>
      <c r="F730">
        <v>42966</v>
      </c>
      <c r="G730" t="s">
        <v>646</v>
      </c>
      <c r="H730">
        <v>474</v>
      </c>
      <c r="I730" t="s">
        <v>3</v>
      </c>
      <c r="J730" t="str">
        <f t="shared" si="11"/>
        <v>Aug</v>
      </c>
    </row>
    <row r="731" spans="2:10" hidden="1" x14ac:dyDescent="0.25">
      <c r="B731">
        <v>10775</v>
      </c>
      <c r="C731" t="s">
        <v>259</v>
      </c>
      <c r="D731">
        <v>43081</v>
      </c>
      <c r="E731">
        <v>43109</v>
      </c>
      <c r="F731">
        <v>43095</v>
      </c>
      <c r="G731" t="s">
        <v>645</v>
      </c>
      <c r="H731">
        <v>101.25</v>
      </c>
      <c r="I731" t="s">
        <v>3</v>
      </c>
      <c r="J731" t="str">
        <f t="shared" si="11"/>
        <v>Dec</v>
      </c>
    </row>
    <row r="732" spans="2:10" hidden="1" x14ac:dyDescent="0.25">
      <c r="B732">
        <v>11003</v>
      </c>
      <c r="C732" t="s">
        <v>259</v>
      </c>
      <c r="D732">
        <v>43196</v>
      </c>
      <c r="E732">
        <v>43224</v>
      </c>
      <c r="F732">
        <v>43198</v>
      </c>
      <c r="G732" t="s">
        <v>647</v>
      </c>
      <c r="H732">
        <v>74.55</v>
      </c>
      <c r="I732" t="s">
        <v>3</v>
      </c>
      <c r="J732" t="str">
        <f t="shared" si="11"/>
        <v>Apr</v>
      </c>
    </row>
    <row r="733" spans="2:10" hidden="1" x14ac:dyDescent="0.25">
      <c r="B733">
        <v>10438</v>
      </c>
      <c r="C733" t="s">
        <v>263</v>
      </c>
      <c r="D733">
        <v>42772</v>
      </c>
      <c r="E733">
        <v>42800</v>
      </c>
      <c r="F733">
        <v>42780</v>
      </c>
      <c r="G733" t="s">
        <v>646</v>
      </c>
      <c r="H733">
        <v>41.2</v>
      </c>
      <c r="I733" t="s">
        <v>379</v>
      </c>
      <c r="J733" t="str">
        <f t="shared" si="11"/>
        <v>Feb</v>
      </c>
    </row>
    <row r="734" spans="2:10" hidden="1" x14ac:dyDescent="0.25">
      <c r="B734">
        <v>10446</v>
      </c>
      <c r="C734" t="s">
        <v>263</v>
      </c>
      <c r="D734">
        <v>42780</v>
      </c>
      <c r="E734">
        <v>42808</v>
      </c>
      <c r="F734">
        <v>42785</v>
      </c>
      <c r="G734" t="s">
        <v>645</v>
      </c>
      <c r="H734">
        <v>73.400000000000006</v>
      </c>
      <c r="I734" t="s">
        <v>379</v>
      </c>
      <c r="J734" t="str">
        <f t="shared" si="11"/>
        <v>Feb</v>
      </c>
    </row>
    <row r="735" spans="2:10" hidden="1" x14ac:dyDescent="0.25">
      <c r="B735">
        <v>10548</v>
      </c>
      <c r="C735" t="s">
        <v>263</v>
      </c>
      <c r="D735">
        <v>42881</v>
      </c>
      <c r="E735">
        <v>42909</v>
      </c>
      <c r="F735">
        <v>42888</v>
      </c>
      <c r="G735" t="s">
        <v>646</v>
      </c>
      <c r="H735">
        <v>7.1499999999999995</v>
      </c>
      <c r="I735" t="s">
        <v>379</v>
      </c>
      <c r="J735" t="str">
        <f t="shared" si="11"/>
        <v>May</v>
      </c>
    </row>
    <row r="736" spans="2:10" hidden="1" x14ac:dyDescent="0.25">
      <c r="B736">
        <v>10608</v>
      </c>
      <c r="C736" t="s">
        <v>263</v>
      </c>
      <c r="D736">
        <v>42939</v>
      </c>
      <c r="E736">
        <v>42967</v>
      </c>
      <c r="F736">
        <v>42948</v>
      </c>
      <c r="G736" t="s">
        <v>646</v>
      </c>
      <c r="H736">
        <v>138.94999999999999</v>
      </c>
      <c r="I736" t="s">
        <v>379</v>
      </c>
      <c r="J736" t="str">
        <f t="shared" si="11"/>
        <v>Jul</v>
      </c>
    </row>
    <row r="737" spans="2:10" hidden="1" x14ac:dyDescent="0.25">
      <c r="B737">
        <v>10967</v>
      </c>
      <c r="C737" t="s">
        <v>263</v>
      </c>
      <c r="D737">
        <v>43182</v>
      </c>
      <c r="E737">
        <v>43210</v>
      </c>
      <c r="F737">
        <v>43192</v>
      </c>
      <c r="G737" t="s">
        <v>646</v>
      </c>
      <c r="H737">
        <v>311.10000000000002</v>
      </c>
      <c r="I737" t="s">
        <v>379</v>
      </c>
      <c r="J737" t="str">
        <f t="shared" si="11"/>
        <v>Mar</v>
      </c>
    </row>
    <row r="738" spans="2:10" hidden="1" x14ac:dyDescent="0.25">
      <c r="B738">
        <v>10276</v>
      </c>
      <c r="C738" t="s">
        <v>266</v>
      </c>
      <c r="D738">
        <v>42590</v>
      </c>
      <c r="E738">
        <v>42604</v>
      </c>
      <c r="F738">
        <v>42596</v>
      </c>
      <c r="G738" t="s">
        <v>647</v>
      </c>
      <c r="H738">
        <v>69.2</v>
      </c>
      <c r="I738" t="s">
        <v>2</v>
      </c>
      <c r="J738" t="str">
        <f t="shared" si="11"/>
        <v>Aug</v>
      </c>
    </row>
    <row r="739" spans="2:10" hidden="1" x14ac:dyDescent="0.25">
      <c r="B739">
        <v>10293</v>
      </c>
      <c r="C739" t="s">
        <v>266</v>
      </c>
      <c r="D739">
        <v>42611</v>
      </c>
      <c r="E739">
        <v>42639</v>
      </c>
      <c r="F739">
        <v>42624</v>
      </c>
      <c r="G739" t="s">
        <v>647</v>
      </c>
      <c r="H739">
        <v>105.9</v>
      </c>
      <c r="I739" t="s">
        <v>2</v>
      </c>
      <c r="J739" t="str">
        <f t="shared" si="11"/>
        <v>Aug</v>
      </c>
    </row>
    <row r="740" spans="2:10" hidden="1" x14ac:dyDescent="0.25">
      <c r="B740">
        <v>10304</v>
      </c>
      <c r="C740" t="s">
        <v>266</v>
      </c>
      <c r="D740">
        <v>42625</v>
      </c>
      <c r="E740">
        <v>42653</v>
      </c>
      <c r="F740">
        <v>42630</v>
      </c>
      <c r="G740" t="s">
        <v>646</v>
      </c>
      <c r="H740">
        <v>318.95</v>
      </c>
      <c r="I740" t="s">
        <v>2</v>
      </c>
      <c r="J740" t="str">
        <f t="shared" si="11"/>
        <v>Sep</v>
      </c>
    </row>
    <row r="741" spans="2:10" hidden="1" x14ac:dyDescent="0.25">
      <c r="B741">
        <v>10319</v>
      </c>
      <c r="C741" t="s">
        <v>266</v>
      </c>
      <c r="D741">
        <v>42645</v>
      </c>
      <c r="E741">
        <v>42673</v>
      </c>
      <c r="F741">
        <v>42654</v>
      </c>
      <c r="G741" t="s">
        <v>647</v>
      </c>
      <c r="H741">
        <v>322.5</v>
      </c>
      <c r="I741" t="s">
        <v>2</v>
      </c>
      <c r="J741" t="str">
        <f t="shared" si="11"/>
        <v>Oct</v>
      </c>
    </row>
    <row r="742" spans="2:10" hidden="1" x14ac:dyDescent="0.25">
      <c r="B742">
        <v>10518</v>
      </c>
      <c r="C742" t="s">
        <v>266</v>
      </c>
      <c r="D742">
        <v>42850</v>
      </c>
      <c r="E742">
        <v>42864</v>
      </c>
      <c r="F742">
        <v>42860</v>
      </c>
      <c r="G742" t="s">
        <v>646</v>
      </c>
      <c r="H742">
        <v>1090.75</v>
      </c>
      <c r="I742" t="s">
        <v>2</v>
      </c>
      <c r="J742" t="str">
        <f t="shared" si="11"/>
        <v>Apr</v>
      </c>
    </row>
    <row r="743" spans="2:10" hidden="1" x14ac:dyDescent="0.25">
      <c r="B743">
        <v>10576</v>
      </c>
      <c r="C743" t="s">
        <v>266</v>
      </c>
      <c r="D743">
        <v>42909</v>
      </c>
      <c r="E743">
        <v>42923</v>
      </c>
      <c r="F743">
        <v>42916</v>
      </c>
      <c r="G743" t="s">
        <v>647</v>
      </c>
      <c r="H743">
        <v>92.8</v>
      </c>
      <c r="I743" t="s">
        <v>2</v>
      </c>
      <c r="J743" t="str">
        <f t="shared" si="11"/>
        <v>Jun</v>
      </c>
    </row>
    <row r="744" spans="2:10" hidden="1" x14ac:dyDescent="0.25">
      <c r="B744">
        <v>10676</v>
      </c>
      <c r="C744" t="s">
        <v>266</v>
      </c>
      <c r="D744">
        <v>43000</v>
      </c>
      <c r="E744">
        <v>43028</v>
      </c>
      <c r="F744">
        <v>43007</v>
      </c>
      <c r="G744" t="s">
        <v>646</v>
      </c>
      <c r="H744">
        <v>10.049999999999999</v>
      </c>
      <c r="I744" t="s">
        <v>2</v>
      </c>
      <c r="J744" t="str">
        <f t="shared" si="11"/>
        <v>Sep</v>
      </c>
    </row>
    <row r="745" spans="2:10" hidden="1" x14ac:dyDescent="0.25">
      <c r="B745">
        <v>10842</v>
      </c>
      <c r="C745" t="s">
        <v>266</v>
      </c>
      <c r="D745">
        <v>43120</v>
      </c>
      <c r="E745">
        <v>43148</v>
      </c>
      <c r="F745">
        <v>43129</v>
      </c>
      <c r="G745" t="s">
        <v>647</v>
      </c>
      <c r="H745">
        <v>272.10000000000002</v>
      </c>
      <c r="I745" t="s">
        <v>2</v>
      </c>
      <c r="J745" t="str">
        <f t="shared" si="11"/>
        <v>Jan</v>
      </c>
    </row>
    <row r="746" spans="2:10" hidden="1" x14ac:dyDescent="0.25">
      <c r="B746">
        <v>10915</v>
      </c>
      <c r="C746" t="s">
        <v>266</v>
      </c>
      <c r="D746">
        <v>43158</v>
      </c>
      <c r="E746">
        <v>43186</v>
      </c>
      <c r="F746">
        <v>43161</v>
      </c>
      <c r="G746" t="s">
        <v>646</v>
      </c>
      <c r="H746">
        <v>17.549999999999997</v>
      </c>
      <c r="I746" t="s">
        <v>2</v>
      </c>
      <c r="J746" t="str">
        <f t="shared" si="11"/>
        <v>Feb</v>
      </c>
    </row>
    <row r="747" spans="2:10" hidden="1" x14ac:dyDescent="0.25">
      <c r="B747">
        <v>11069</v>
      </c>
      <c r="C747" t="s">
        <v>266</v>
      </c>
      <c r="D747">
        <v>43224</v>
      </c>
      <c r="E747">
        <v>43252</v>
      </c>
      <c r="F747">
        <v>43226</v>
      </c>
      <c r="G747" t="s">
        <v>646</v>
      </c>
      <c r="H747">
        <v>78.349999999999994</v>
      </c>
      <c r="I747" t="s">
        <v>2</v>
      </c>
      <c r="J747" t="str">
        <f t="shared" si="11"/>
        <v>May</v>
      </c>
    </row>
    <row r="748" spans="2:10" hidden="1" x14ac:dyDescent="0.25">
      <c r="B748">
        <v>10249</v>
      </c>
      <c r="C748" t="s">
        <v>268</v>
      </c>
      <c r="D748">
        <v>42556</v>
      </c>
      <c r="E748">
        <v>42598</v>
      </c>
      <c r="F748">
        <v>42561</v>
      </c>
      <c r="G748" t="s">
        <v>645</v>
      </c>
      <c r="H748">
        <v>58.05</v>
      </c>
      <c r="I748" t="s">
        <v>380</v>
      </c>
      <c r="J748" t="str">
        <f t="shared" si="11"/>
        <v>Jul</v>
      </c>
    </row>
    <row r="749" spans="2:10" hidden="1" x14ac:dyDescent="0.25">
      <c r="B749">
        <v>10292</v>
      </c>
      <c r="C749" t="s">
        <v>268</v>
      </c>
      <c r="D749">
        <v>42610</v>
      </c>
      <c r="E749">
        <v>42638</v>
      </c>
      <c r="F749">
        <v>42615</v>
      </c>
      <c r="G749" t="s">
        <v>646</v>
      </c>
      <c r="H749">
        <v>6.75</v>
      </c>
      <c r="I749" t="s">
        <v>380</v>
      </c>
      <c r="J749" t="str">
        <f t="shared" si="11"/>
        <v>Aug</v>
      </c>
    </row>
    <row r="750" spans="2:10" hidden="1" x14ac:dyDescent="0.25">
      <c r="B750">
        <v>10496</v>
      </c>
      <c r="C750" t="s">
        <v>268</v>
      </c>
      <c r="D750">
        <v>42829</v>
      </c>
      <c r="E750">
        <v>42857</v>
      </c>
      <c r="F750">
        <v>42832</v>
      </c>
      <c r="G750" t="s">
        <v>646</v>
      </c>
      <c r="H750">
        <v>233.85000000000002</v>
      </c>
      <c r="I750" t="s">
        <v>380</v>
      </c>
      <c r="J750" t="str">
        <f t="shared" si="11"/>
        <v>Apr</v>
      </c>
    </row>
    <row r="751" spans="2:10" hidden="1" x14ac:dyDescent="0.25">
      <c r="B751">
        <v>10606</v>
      </c>
      <c r="C751" t="s">
        <v>268</v>
      </c>
      <c r="D751">
        <v>42938</v>
      </c>
      <c r="E751">
        <v>42966</v>
      </c>
      <c r="F751">
        <v>42947</v>
      </c>
      <c r="G751" t="s">
        <v>647</v>
      </c>
      <c r="H751">
        <v>397</v>
      </c>
      <c r="I751" t="s">
        <v>380</v>
      </c>
      <c r="J751" t="str">
        <f t="shared" si="11"/>
        <v>Jul</v>
      </c>
    </row>
    <row r="752" spans="2:10" hidden="1" x14ac:dyDescent="0.25">
      <c r="B752">
        <v>10830</v>
      </c>
      <c r="C752" t="s">
        <v>268</v>
      </c>
      <c r="D752">
        <v>43113</v>
      </c>
      <c r="E752">
        <v>43155</v>
      </c>
      <c r="F752">
        <v>43121</v>
      </c>
      <c r="G752" t="s">
        <v>646</v>
      </c>
      <c r="H752">
        <v>409.15</v>
      </c>
      <c r="I752" t="s">
        <v>380</v>
      </c>
      <c r="J752" t="str">
        <f t="shared" si="11"/>
        <v>Jan</v>
      </c>
    </row>
    <row r="753" spans="2:10" hidden="1" x14ac:dyDescent="0.25">
      <c r="B753">
        <v>10834</v>
      </c>
      <c r="C753" t="s">
        <v>268</v>
      </c>
      <c r="D753">
        <v>43115</v>
      </c>
      <c r="E753">
        <v>43143</v>
      </c>
      <c r="F753">
        <v>43119</v>
      </c>
      <c r="G753" t="s">
        <v>647</v>
      </c>
      <c r="H753">
        <v>148.9</v>
      </c>
      <c r="I753" t="s">
        <v>380</v>
      </c>
      <c r="J753" t="str">
        <f t="shared" si="11"/>
        <v>Jan</v>
      </c>
    </row>
    <row r="754" spans="2:10" hidden="1" x14ac:dyDescent="0.25">
      <c r="B754">
        <v>10839</v>
      </c>
      <c r="C754" t="s">
        <v>268</v>
      </c>
      <c r="D754">
        <v>43119</v>
      </c>
      <c r="E754">
        <v>43147</v>
      </c>
      <c r="F754">
        <v>43122</v>
      </c>
      <c r="G754" t="s">
        <v>647</v>
      </c>
      <c r="H754">
        <v>177.15</v>
      </c>
      <c r="I754" t="s">
        <v>380</v>
      </c>
      <c r="J754" t="str">
        <f t="shared" si="11"/>
        <v>Jan</v>
      </c>
    </row>
    <row r="755" spans="2:10" hidden="1" x14ac:dyDescent="0.25">
      <c r="B755">
        <v>10574</v>
      </c>
      <c r="C755" t="s">
        <v>271</v>
      </c>
      <c r="D755">
        <v>42905</v>
      </c>
      <c r="E755">
        <v>42933</v>
      </c>
      <c r="F755">
        <v>42916</v>
      </c>
      <c r="G755" t="s">
        <v>646</v>
      </c>
      <c r="H755">
        <v>188</v>
      </c>
      <c r="I755" t="s">
        <v>381</v>
      </c>
      <c r="J755" t="str">
        <f t="shared" si="11"/>
        <v>Jun</v>
      </c>
    </row>
    <row r="756" spans="2:10" hidden="1" x14ac:dyDescent="0.25">
      <c r="B756">
        <v>10577</v>
      </c>
      <c r="C756" t="s">
        <v>271</v>
      </c>
      <c r="D756">
        <v>42909</v>
      </c>
      <c r="E756">
        <v>42951</v>
      </c>
      <c r="F756">
        <v>42916</v>
      </c>
      <c r="G756" t="s">
        <v>646</v>
      </c>
      <c r="H756">
        <v>127.05</v>
      </c>
      <c r="I756" t="s">
        <v>381</v>
      </c>
      <c r="J756" t="str">
        <f t="shared" si="11"/>
        <v>Jun</v>
      </c>
    </row>
    <row r="757" spans="2:10" hidden="1" x14ac:dyDescent="0.25">
      <c r="B757">
        <v>10822</v>
      </c>
      <c r="C757" t="s">
        <v>271</v>
      </c>
      <c r="D757">
        <v>43108</v>
      </c>
      <c r="E757">
        <v>43136</v>
      </c>
      <c r="F757">
        <v>43116</v>
      </c>
      <c r="G757" t="s">
        <v>647</v>
      </c>
      <c r="H757">
        <v>35</v>
      </c>
      <c r="I757" t="s">
        <v>381</v>
      </c>
      <c r="J757" t="str">
        <f t="shared" si="11"/>
        <v>Jan</v>
      </c>
    </row>
    <row r="758" spans="2:10" hidden="1" x14ac:dyDescent="0.25">
      <c r="B758">
        <v>10367</v>
      </c>
      <c r="C758" t="s">
        <v>274</v>
      </c>
      <c r="D758">
        <v>42702</v>
      </c>
      <c r="E758">
        <v>42730</v>
      </c>
      <c r="F758">
        <v>42706</v>
      </c>
      <c r="G758" t="s">
        <v>647</v>
      </c>
      <c r="H758">
        <v>67.75</v>
      </c>
      <c r="I758" t="s">
        <v>382</v>
      </c>
      <c r="J758" t="str">
        <f t="shared" si="11"/>
        <v>Nov</v>
      </c>
    </row>
    <row r="759" spans="2:10" hidden="1" x14ac:dyDescent="0.25">
      <c r="B759">
        <v>10399</v>
      </c>
      <c r="C759" t="s">
        <v>274</v>
      </c>
      <c r="D759">
        <v>42735</v>
      </c>
      <c r="E759">
        <v>42749</v>
      </c>
      <c r="F759">
        <v>42743</v>
      </c>
      <c r="G759" t="s">
        <v>647</v>
      </c>
      <c r="H759">
        <v>136.80000000000001</v>
      </c>
      <c r="I759" t="s">
        <v>382</v>
      </c>
      <c r="J759" t="str">
        <f t="shared" si="11"/>
        <v>Dec</v>
      </c>
    </row>
    <row r="760" spans="2:10" hidden="1" x14ac:dyDescent="0.25">
      <c r="B760">
        <v>10465</v>
      </c>
      <c r="C760" t="s">
        <v>274</v>
      </c>
      <c r="D760">
        <v>42799</v>
      </c>
      <c r="E760">
        <v>42827</v>
      </c>
      <c r="F760">
        <v>42808</v>
      </c>
      <c r="G760" t="s">
        <v>647</v>
      </c>
      <c r="H760">
        <v>725.19999999999993</v>
      </c>
      <c r="I760" t="s">
        <v>382</v>
      </c>
      <c r="J760" t="str">
        <f t="shared" si="11"/>
        <v>Mar</v>
      </c>
    </row>
    <row r="761" spans="2:10" hidden="1" x14ac:dyDescent="0.25">
      <c r="B761">
        <v>10591</v>
      </c>
      <c r="C761" t="s">
        <v>274</v>
      </c>
      <c r="D761">
        <v>42923</v>
      </c>
      <c r="E761">
        <v>42937</v>
      </c>
      <c r="F761">
        <v>42932</v>
      </c>
      <c r="G761" t="s">
        <v>645</v>
      </c>
      <c r="H761">
        <v>279.60000000000002</v>
      </c>
      <c r="I761" t="s">
        <v>382</v>
      </c>
      <c r="J761" t="str">
        <f t="shared" si="11"/>
        <v>Jul</v>
      </c>
    </row>
    <row r="762" spans="2:10" hidden="1" x14ac:dyDescent="0.25">
      <c r="B762">
        <v>10602</v>
      </c>
      <c r="C762" t="s">
        <v>274</v>
      </c>
      <c r="D762">
        <v>42933</v>
      </c>
      <c r="E762">
        <v>42961</v>
      </c>
      <c r="F762">
        <v>42938</v>
      </c>
      <c r="G762" t="s">
        <v>646</v>
      </c>
      <c r="H762">
        <v>14.6</v>
      </c>
      <c r="I762" t="s">
        <v>382</v>
      </c>
      <c r="J762" t="str">
        <f t="shared" si="11"/>
        <v>Jul</v>
      </c>
    </row>
    <row r="763" spans="2:10" hidden="1" x14ac:dyDescent="0.25">
      <c r="B763">
        <v>10688</v>
      </c>
      <c r="C763" t="s">
        <v>274</v>
      </c>
      <c r="D763">
        <v>43009</v>
      </c>
      <c r="E763">
        <v>43023</v>
      </c>
      <c r="F763">
        <v>43015</v>
      </c>
      <c r="G763" t="s">
        <v>646</v>
      </c>
      <c r="H763">
        <v>1495.4499999999998</v>
      </c>
      <c r="I763" t="s">
        <v>382</v>
      </c>
      <c r="J763" t="str">
        <f t="shared" si="11"/>
        <v>Oct</v>
      </c>
    </row>
    <row r="764" spans="2:10" hidden="1" x14ac:dyDescent="0.25">
      <c r="B764">
        <v>10744</v>
      </c>
      <c r="C764" t="s">
        <v>274</v>
      </c>
      <c r="D764">
        <v>43056</v>
      </c>
      <c r="E764">
        <v>43084</v>
      </c>
      <c r="F764">
        <v>43063</v>
      </c>
      <c r="G764" t="s">
        <v>645</v>
      </c>
      <c r="H764">
        <v>345.95</v>
      </c>
      <c r="I764" t="s">
        <v>382</v>
      </c>
      <c r="J764" t="str">
        <f t="shared" si="11"/>
        <v>Nov</v>
      </c>
    </row>
    <row r="765" spans="2:10" hidden="1" x14ac:dyDescent="0.25">
      <c r="B765">
        <v>10769</v>
      </c>
      <c r="C765" t="s">
        <v>274</v>
      </c>
      <c r="D765">
        <v>43077</v>
      </c>
      <c r="E765">
        <v>43105</v>
      </c>
      <c r="F765">
        <v>43081</v>
      </c>
      <c r="G765" t="s">
        <v>645</v>
      </c>
      <c r="H765">
        <v>325.3</v>
      </c>
      <c r="I765" t="s">
        <v>382</v>
      </c>
      <c r="J765" t="str">
        <f t="shared" si="11"/>
        <v>Dec</v>
      </c>
    </row>
    <row r="766" spans="2:10" hidden="1" x14ac:dyDescent="0.25">
      <c r="B766">
        <v>10921</v>
      </c>
      <c r="C766" t="s">
        <v>274</v>
      </c>
      <c r="D766">
        <v>43162</v>
      </c>
      <c r="E766">
        <v>43204</v>
      </c>
      <c r="F766">
        <v>43168</v>
      </c>
      <c r="G766" t="s">
        <v>645</v>
      </c>
      <c r="H766">
        <v>882.4</v>
      </c>
      <c r="I766" t="s">
        <v>382</v>
      </c>
      <c r="J766" t="str">
        <f t="shared" si="11"/>
        <v>Mar</v>
      </c>
    </row>
    <row r="767" spans="2:10" hidden="1" x14ac:dyDescent="0.25">
      <c r="B767">
        <v>10946</v>
      </c>
      <c r="C767" t="s">
        <v>274</v>
      </c>
      <c r="D767">
        <v>43171</v>
      </c>
      <c r="E767">
        <v>43199</v>
      </c>
      <c r="F767">
        <v>43178</v>
      </c>
      <c r="G767" t="s">
        <v>646</v>
      </c>
      <c r="H767">
        <v>136</v>
      </c>
      <c r="I767" t="s">
        <v>382</v>
      </c>
      <c r="J767" t="str">
        <f t="shared" si="11"/>
        <v>Mar</v>
      </c>
    </row>
    <row r="768" spans="2:10" hidden="1" x14ac:dyDescent="0.25">
      <c r="B768">
        <v>10994</v>
      </c>
      <c r="C768" t="s">
        <v>274</v>
      </c>
      <c r="D768">
        <v>43192</v>
      </c>
      <c r="E768">
        <v>43206</v>
      </c>
      <c r="F768">
        <v>43199</v>
      </c>
      <c r="G768" t="s">
        <v>647</v>
      </c>
      <c r="H768">
        <v>327.64999999999998</v>
      </c>
      <c r="I768" t="s">
        <v>382</v>
      </c>
      <c r="J768" t="str">
        <f t="shared" si="11"/>
        <v>Apr</v>
      </c>
    </row>
    <row r="769" spans="2:10" hidden="1" x14ac:dyDescent="0.25">
      <c r="B769">
        <v>10251</v>
      </c>
      <c r="C769" t="s">
        <v>277</v>
      </c>
      <c r="D769">
        <v>42559</v>
      </c>
      <c r="E769">
        <v>42587</v>
      </c>
      <c r="F769">
        <v>42566</v>
      </c>
      <c r="G769" t="s">
        <v>645</v>
      </c>
      <c r="H769">
        <v>206.70000000000002</v>
      </c>
      <c r="I769" t="s">
        <v>383</v>
      </c>
      <c r="J769" t="str">
        <f t="shared" si="11"/>
        <v>Jul</v>
      </c>
    </row>
    <row r="770" spans="2:10" hidden="1" x14ac:dyDescent="0.25">
      <c r="B770">
        <v>10334</v>
      </c>
      <c r="C770" t="s">
        <v>277</v>
      </c>
      <c r="D770">
        <v>42664</v>
      </c>
      <c r="E770">
        <v>42692</v>
      </c>
      <c r="F770">
        <v>42671</v>
      </c>
      <c r="G770" t="s">
        <v>646</v>
      </c>
      <c r="H770">
        <v>42.800000000000004</v>
      </c>
      <c r="I770" t="s">
        <v>383</v>
      </c>
      <c r="J770" t="str">
        <f t="shared" si="11"/>
        <v>Oct</v>
      </c>
    </row>
    <row r="771" spans="2:10" hidden="1" x14ac:dyDescent="0.25">
      <c r="B771">
        <v>10450</v>
      </c>
      <c r="C771" t="s">
        <v>277</v>
      </c>
      <c r="D771">
        <v>42785</v>
      </c>
      <c r="E771">
        <v>42813</v>
      </c>
      <c r="F771">
        <v>42805</v>
      </c>
      <c r="G771" t="s">
        <v>646</v>
      </c>
      <c r="H771">
        <v>36.150000000000006</v>
      </c>
      <c r="I771" t="s">
        <v>383</v>
      </c>
      <c r="J771" t="str">
        <f t="shared" si="11"/>
        <v>Feb</v>
      </c>
    </row>
    <row r="772" spans="2:10" hidden="1" x14ac:dyDescent="0.25">
      <c r="B772">
        <v>10459</v>
      </c>
      <c r="C772" t="s">
        <v>277</v>
      </c>
      <c r="D772">
        <v>42793</v>
      </c>
      <c r="E772">
        <v>42821</v>
      </c>
      <c r="F772">
        <v>42794</v>
      </c>
      <c r="G772" t="s">
        <v>646</v>
      </c>
      <c r="H772">
        <v>125.45</v>
      </c>
      <c r="I772" t="s">
        <v>383</v>
      </c>
      <c r="J772" t="str">
        <f t="shared" si="11"/>
        <v>Feb</v>
      </c>
    </row>
    <row r="773" spans="2:10" hidden="1" x14ac:dyDescent="0.25">
      <c r="B773">
        <v>10478</v>
      </c>
      <c r="C773" t="s">
        <v>277</v>
      </c>
      <c r="D773">
        <v>42812</v>
      </c>
      <c r="E773">
        <v>42826</v>
      </c>
      <c r="F773">
        <v>42820</v>
      </c>
      <c r="G773" t="s">
        <v>647</v>
      </c>
      <c r="H773">
        <v>24.049999999999997</v>
      </c>
      <c r="I773" t="s">
        <v>383</v>
      </c>
      <c r="J773" t="str">
        <f t="shared" si="11"/>
        <v>Mar</v>
      </c>
    </row>
    <row r="774" spans="2:10" hidden="1" x14ac:dyDescent="0.25">
      <c r="B774">
        <v>10546</v>
      </c>
      <c r="C774" t="s">
        <v>277</v>
      </c>
      <c r="D774">
        <v>42878</v>
      </c>
      <c r="E774">
        <v>42906</v>
      </c>
      <c r="F774">
        <v>42882</v>
      </c>
      <c r="G774" t="s">
        <v>647</v>
      </c>
      <c r="H774">
        <v>973.6</v>
      </c>
      <c r="I774" t="s">
        <v>383</v>
      </c>
      <c r="J774" t="str">
        <f t="shared" si="11"/>
        <v>May</v>
      </c>
    </row>
    <row r="775" spans="2:10" hidden="1" x14ac:dyDescent="0.25">
      <c r="B775">
        <v>10806</v>
      </c>
      <c r="C775" t="s">
        <v>277</v>
      </c>
      <c r="D775">
        <v>43100</v>
      </c>
      <c r="E775">
        <v>43128</v>
      </c>
      <c r="F775">
        <v>43105</v>
      </c>
      <c r="G775" t="s">
        <v>646</v>
      </c>
      <c r="H775">
        <v>110.55</v>
      </c>
      <c r="I775" t="s">
        <v>383</v>
      </c>
      <c r="J775" t="str">
        <f t="shared" si="11"/>
        <v>Dec</v>
      </c>
    </row>
    <row r="776" spans="2:10" hidden="1" x14ac:dyDescent="0.25">
      <c r="B776">
        <v>10814</v>
      </c>
      <c r="C776" t="s">
        <v>277</v>
      </c>
      <c r="D776">
        <v>43105</v>
      </c>
      <c r="E776">
        <v>43133</v>
      </c>
      <c r="F776">
        <v>43114</v>
      </c>
      <c r="G776" t="s">
        <v>647</v>
      </c>
      <c r="H776">
        <v>654.70000000000005</v>
      </c>
      <c r="I776" t="s">
        <v>383</v>
      </c>
      <c r="J776" t="str">
        <f t="shared" si="11"/>
        <v>Jan</v>
      </c>
    </row>
    <row r="777" spans="2:10" hidden="1" x14ac:dyDescent="0.25">
      <c r="B777">
        <v>10843</v>
      </c>
      <c r="C777" t="s">
        <v>277</v>
      </c>
      <c r="D777">
        <v>43121</v>
      </c>
      <c r="E777">
        <v>43149</v>
      </c>
      <c r="F777">
        <v>43126</v>
      </c>
      <c r="G777" t="s">
        <v>646</v>
      </c>
      <c r="H777">
        <v>46.3</v>
      </c>
      <c r="I777" t="s">
        <v>383</v>
      </c>
      <c r="J777" t="str">
        <f t="shared" si="11"/>
        <v>Jan</v>
      </c>
    </row>
    <row r="778" spans="2:10" hidden="1" x14ac:dyDescent="0.25">
      <c r="B778">
        <v>10850</v>
      </c>
      <c r="C778" t="s">
        <v>277</v>
      </c>
      <c r="D778">
        <v>43123</v>
      </c>
      <c r="E778">
        <v>43165</v>
      </c>
      <c r="F778">
        <v>43130</v>
      </c>
      <c r="G778" t="s">
        <v>645</v>
      </c>
      <c r="H778">
        <v>245.95</v>
      </c>
      <c r="I778" t="s">
        <v>383</v>
      </c>
      <c r="J778" t="str">
        <f t="shared" si="11"/>
        <v>Jan</v>
      </c>
    </row>
    <row r="779" spans="2:10" hidden="1" x14ac:dyDescent="0.25">
      <c r="B779">
        <v>10274</v>
      </c>
      <c r="C779" t="s">
        <v>280</v>
      </c>
      <c r="D779">
        <v>42588</v>
      </c>
      <c r="E779">
        <v>42616</v>
      </c>
      <c r="F779">
        <v>42598</v>
      </c>
      <c r="G779" t="s">
        <v>645</v>
      </c>
      <c r="H779">
        <v>30.049999999999997</v>
      </c>
      <c r="I779" t="s">
        <v>384</v>
      </c>
      <c r="J779" t="str">
        <f t="shared" si="11"/>
        <v>Aug</v>
      </c>
    </row>
    <row r="780" spans="2:10" hidden="1" x14ac:dyDescent="0.25">
      <c r="B780">
        <v>10295</v>
      </c>
      <c r="C780" t="s">
        <v>280</v>
      </c>
      <c r="D780">
        <v>42615</v>
      </c>
      <c r="E780">
        <v>42643</v>
      </c>
      <c r="F780">
        <v>42623</v>
      </c>
      <c r="G780" t="s">
        <v>646</v>
      </c>
      <c r="H780">
        <v>5.75</v>
      </c>
      <c r="I780" t="s">
        <v>384</v>
      </c>
      <c r="J780" t="str">
        <f t="shared" si="11"/>
        <v>Sep</v>
      </c>
    </row>
    <row r="781" spans="2:10" hidden="1" x14ac:dyDescent="0.25">
      <c r="B781">
        <v>10737</v>
      </c>
      <c r="C781" t="s">
        <v>280</v>
      </c>
      <c r="D781">
        <v>43050</v>
      </c>
      <c r="E781">
        <v>43078</v>
      </c>
      <c r="F781">
        <v>43057</v>
      </c>
      <c r="G781" t="s">
        <v>646</v>
      </c>
      <c r="H781">
        <v>38.950000000000003</v>
      </c>
      <c r="I781" t="s">
        <v>384</v>
      </c>
      <c r="J781" t="str">
        <f t="shared" si="11"/>
        <v>Nov</v>
      </c>
    </row>
    <row r="782" spans="2:10" hidden="1" x14ac:dyDescent="0.25">
      <c r="B782">
        <v>10739</v>
      </c>
      <c r="C782" t="s">
        <v>280</v>
      </c>
      <c r="D782">
        <v>43051</v>
      </c>
      <c r="E782">
        <v>43079</v>
      </c>
      <c r="F782">
        <v>43056</v>
      </c>
      <c r="G782" t="s">
        <v>647</v>
      </c>
      <c r="H782">
        <v>55.4</v>
      </c>
      <c r="I782" t="s">
        <v>384</v>
      </c>
      <c r="J782" t="str">
        <f t="shared" si="11"/>
        <v>Nov</v>
      </c>
    </row>
    <row r="783" spans="2:10" hidden="1" x14ac:dyDescent="0.25">
      <c r="B783">
        <v>10301</v>
      </c>
      <c r="C783" t="s">
        <v>283</v>
      </c>
      <c r="D783">
        <v>42622</v>
      </c>
      <c r="E783">
        <v>42650</v>
      </c>
      <c r="F783">
        <v>42630</v>
      </c>
      <c r="G783" t="s">
        <v>646</v>
      </c>
      <c r="H783">
        <v>225.39999999999998</v>
      </c>
      <c r="I783" t="s">
        <v>385</v>
      </c>
      <c r="J783" t="str">
        <f t="shared" si="11"/>
        <v>Sep</v>
      </c>
    </row>
    <row r="784" spans="2:10" hidden="1" x14ac:dyDescent="0.25">
      <c r="B784">
        <v>10312</v>
      </c>
      <c r="C784" t="s">
        <v>283</v>
      </c>
      <c r="D784">
        <v>42636</v>
      </c>
      <c r="E784">
        <v>42664</v>
      </c>
      <c r="F784">
        <v>42646</v>
      </c>
      <c r="G784" t="s">
        <v>646</v>
      </c>
      <c r="H784">
        <v>201.29999999999998</v>
      </c>
      <c r="I784" t="s">
        <v>385</v>
      </c>
      <c r="J784" t="str">
        <f t="shared" si="11"/>
        <v>Sep</v>
      </c>
    </row>
    <row r="785" spans="2:10" hidden="1" x14ac:dyDescent="0.25">
      <c r="B785">
        <v>10348</v>
      </c>
      <c r="C785" t="s">
        <v>283</v>
      </c>
      <c r="D785">
        <v>42681</v>
      </c>
      <c r="E785">
        <v>42709</v>
      </c>
      <c r="F785">
        <v>42689</v>
      </c>
      <c r="G785" t="s">
        <v>646</v>
      </c>
      <c r="H785">
        <v>3.9000000000000004</v>
      </c>
      <c r="I785" t="s">
        <v>385</v>
      </c>
      <c r="J785" t="str">
        <f t="shared" ref="J785:J845" si="12">TEXT(D785,"mmm")</f>
        <v>Nov</v>
      </c>
    </row>
    <row r="786" spans="2:10" hidden="1" x14ac:dyDescent="0.25">
      <c r="B786">
        <v>10356</v>
      </c>
      <c r="C786" t="s">
        <v>283</v>
      </c>
      <c r="D786">
        <v>42692</v>
      </c>
      <c r="E786">
        <v>42720</v>
      </c>
      <c r="F786">
        <v>42701</v>
      </c>
      <c r="G786" t="s">
        <v>646</v>
      </c>
      <c r="H786">
        <v>183.55</v>
      </c>
      <c r="I786" t="s">
        <v>385</v>
      </c>
      <c r="J786" t="str">
        <f t="shared" si="12"/>
        <v>Nov</v>
      </c>
    </row>
    <row r="787" spans="2:10" hidden="1" x14ac:dyDescent="0.25">
      <c r="B787">
        <v>10513</v>
      </c>
      <c r="C787" t="s">
        <v>283</v>
      </c>
      <c r="D787">
        <v>42847</v>
      </c>
      <c r="E787">
        <v>42889</v>
      </c>
      <c r="F787">
        <v>42853</v>
      </c>
      <c r="G787" t="s">
        <v>645</v>
      </c>
      <c r="H787">
        <v>528.25</v>
      </c>
      <c r="I787" t="s">
        <v>385</v>
      </c>
      <c r="J787" t="str">
        <f t="shared" si="12"/>
        <v>Apr</v>
      </c>
    </row>
    <row r="788" spans="2:10" hidden="1" x14ac:dyDescent="0.25">
      <c r="B788">
        <v>10632</v>
      </c>
      <c r="C788" t="s">
        <v>283</v>
      </c>
      <c r="D788">
        <v>42961</v>
      </c>
      <c r="E788">
        <v>42989</v>
      </c>
      <c r="F788">
        <v>42966</v>
      </c>
      <c r="G788" t="s">
        <v>645</v>
      </c>
      <c r="H788">
        <v>206.9</v>
      </c>
      <c r="I788" t="s">
        <v>385</v>
      </c>
      <c r="J788" t="str">
        <f t="shared" si="12"/>
        <v>Aug</v>
      </c>
    </row>
    <row r="789" spans="2:10" hidden="1" x14ac:dyDescent="0.25">
      <c r="B789">
        <v>10640</v>
      </c>
      <c r="C789" t="s">
        <v>283</v>
      </c>
      <c r="D789">
        <v>42968</v>
      </c>
      <c r="E789">
        <v>42996</v>
      </c>
      <c r="F789">
        <v>42975</v>
      </c>
      <c r="G789" t="s">
        <v>645</v>
      </c>
      <c r="H789">
        <v>117.75</v>
      </c>
      <c r="I789" t="s">
        <v>385</v>
      </c>
      <c r="J789" t="str">
        <f t="shared" si="12"/>
        <v>Aug</v>
      </c>
    </row>
    <row r="790" spans="2:10" hidden="1" x14ac:dyDescent="0.25">
      <c r="B790">
        <v>10651</v>
      </c>
      <c r="C790" t="s">
        <v>283</v>
      </c>
      <c r="D790">
        <v>42979</v>
      </c>
      <c r="E790">
        <v>43007</v>
      </c>
      <c r="F790">
        <v>42989</v>
      </c>
      <c r="G790" t="s">
        <v>646</v>
      </c>
      <c r="H790">
        <v>103</v>
      </c>
      <c r="I790" t="s">
        <v>385</v>
      </c>
      <c r="J790" t="str">
        <f t="shared" si="12"/>
        <v>Sep</v>
      </c>
    </row>
    <row r="791" spans="2:10" hidden="1" x14ac:dyDescent="0.25">
      <c r="B791">
        <v>10668</v>
      </c>
      <c r="C791" t="s">
        <v>283</v>
      </c>
      <c r="D791">
        <v>42993</v>
      </c>
      <c r="E791">
        <v>43021</v>
      </c>
      <c r="F791">
        <v>43001</v>
      </c>
      <c r="G791" t="s">
        <v>646</v>
      </c>
      <c r="H791">
        <v>236.1</v>
      </c>
      <c r="I791" t="s">
        <v>385</v>
      </c>
      <c r="J791" t="str">
        <f t="shared" si="12"/>
        <v>Sep</v>
      </c>
    </row>
    <row r="792" spans="2:10" hidden="1" x14ac:dyDescent="0.25">
      <c r="B792">
        <v>11046</v>
      </c>
      <c r="C792" t="s">
        <v>283</v>
      </c>
      <c r="D792">
        <v>43213</v>
      </c>
      <c r="E792">
        <v>43241</v>
      </c>
      <c r="F792">
        <v>43214</v>
      </c>
      <c r="G792" t="s">
        <v>646</v>
      </c>
      <c r="H792">
        <v>358.2</v>
      </c>
      <c r="I792" t="s">
        <v>385</v>
      </c>
      <c r="J792" t="str">
        <f t="shared" si="12"/>
        <v>Apr</v>
      </c>
    </row>
    <row r="793" spans="2:10" hidden="1" x14ac:dyDescent="0.25">
      <c r="B793">
        <v>10266</v>
      </c>
      <c r="C793" t="s">
        <v>286</v>
      </c>
      <c r="D793">
        <v>42577</v>
      </c>
      <c r="E793">
        <v>42619</v>
      </c>
      <c r="F793">
        <v>42582</v>
      </c>
      <c r="G793" t="s">
        <v>647</v>
      </c>
      <c r="H793">
        <v>128.65</v>
      </c>
      <c r="I793" t="s">
        <v>386</v>
      </c>
      <c r="J793" t="str">
        <f t="shared" si="12"/>
        <v>Jul</v>
      </c>
    </row>
    <row r="794" spans="2:10" hidden="1" x14ac:dyDescent="0.25">
      <c r="B794">
        <v>10270</v>
      </c>
      <c r="C794" t="s">
        <v>286</v>
      </c>
      <c r="D794">
        <v>42583</v>
      </c>
      <c r="E794">
        <v>42611</v>
      </c>
      <c r="F794">
        <v>42584</v>
      </c>
      <c r="G794" t="s">
        <v>645</v>
      </c>
      <c r="H794">
        <v>682.69999999999993</v>
      </c>
      <c r="I794" t="s">
        <v>386</v>
      </c>
      <c r="J794" t="str">
        <f t="shared" si="12"/>
        <v>Aug</v>
      </c>
    </row>
    <row r="795" spans="2:10" hidden="1" x14ac:dyDescent="0.25">
      <c r="B795">
        <v>10320</v>
      </c>
      <c r="C795" t="s">
        <v>286</v>
      </c>
      <c r="D795">
        <v>42646</v>
      </c>
      <c r="E795">
        <v>42660</v>
      </c>
      <c r="F795">
        <v>42661</v>
      </c>
      <c r="G795" t="s">
        <v>647</v>
      </c>
      <c r="H795">
        <v>172.85</v>
      </c>
      <c r="I795" t="s">
        <v>386</v>
      </c>
      <c r="J795" t="str">
        <f t="shared" si="12"/>
        <v>Oct</v>
      </c>
    </row>
    <row r="796" spans="2:10" hidden="1" x14ac:dyDescent="0.25">
      <c r="B796">
        <v>10333</v>
      </c>
      <c r="C796" t="s">
        <v>286</v>
      </c>
      <c r="D796">
        <v>42661</v>
      </c>
      <c r="E796">
        <v>42689</v>
      </c>
      <c r="F796">
        <v>42668</v>
      </c>
      <c r="G796" t="s">
        <v>647</v>
      </c>
      <c r="H796">
        <v>2.9499999999999997</v>
      </c>
      <c r="I796" t="s">
        <v>386</v>
      </c>
      <c r="J796" t="str">
        <f t="shared" si="12"/>
        <v>Oct</v>
      </c>
    </row>
    <row r="797" spans="2:10" hidden="1" x14ac:dyDescent="0.25">
      <c r="B797">
        <v>10412</v>
      </c>
      <c r="C797" t="s">
        <v>286</v>
      </c>
      <c r="D797">
        <v>42748</v>
      </c>
      <c r="E797">
        <v>42776</v>
      </c>
      <c r="F797">
        <v>42750</v>
      </c>
      <c r="G797" t="s">
        <v>646</v>
      </c>
      <c r="H797">
        <v>18.850000000000001</v>
      </c>
      <c r="I797" t="s">
        <v>386</v>
      </c>
      <c r="J797" t="str">
        <f t="shared" si="12"/>
        <v>Jan</v>
      </c>
    </row>
    <row r="798" spans="2:10" hidden="1" x14ac:dyDescent="0.25">
      <c r="B798">
        <v>10416</v>
      </c>
      <c r="C798" t="s">
        <v>286</v>
      </c>
      <c r="D798">
        <v>42751</v>
      </c>
      <c r="E798">
        <v>42779</v>
      </c>
      <c r="F798">
        <v>42762</v>
      </c>
      <c r="G798" t="s">
        <v>647</v>
      </c>
      <c r="H798">
        <v>113.6</v>
      </c>
      <c r="I798" t="s">
        <v>386</v>
      </c>
      <c r="J798" t="str">
        <f t="shared" si="12"/>
        <v>Jan</v>
      </c>
    </row>
    <row r="799" spans="2:10" hidden="1" x14ac:dyDescent="0.25">
      <c r="B799">
        <v>10437</v>
      </c>
      <c r="C799" t="s">
        <v>286</v>
      </c>
      <c r="D799">
        <v>42771</v>
      </c>
      <c r="E799">
        <v>42799</v>
      </c>
      <c r="F799">
        <v>42778</v>
      </c>
      <c r="G799" t="s">
        <v>645</v>
      </c>
      <c r="H799">
        <v>99.85</v>
      </c>
      <c r="I799" t="s">
        <v>386</v>
      </c>
      <c r="J799" t="str">
        <f t="shared" si="12"/>
        <v>Feb</v>
      </c>
    </row>
    <row r="800" spans="2:10" hidden="1" x14ac:dyDescent="0.25">
      <c r="B800">
        <v>10455</v>
      </c>
      <c r="C800" t="s">
        <v>286</v>
      </c>
      <c r="D800">
        <v>42790</v>
      </c>
      <c r="E800">
        <v>42832</v>
      </c>
      <c r="F800">
        <v>42797</v>
      </c>
      <c r="G800" t="s">
        <v>646</v>
      </c>
      <c r="H800">
        <v>902.25</v>
      </c>
      <c r="I800" t="s">
        <v>386</v>
      </c>
      <c r="J800" t="str">
        <f t="shared" si="12"/>
        <v>Feb</v>
      </c>
    </row>
    <row r="801" spans="2:10" hidden="1" x14ac:dyDescent="0.25">
      <c r="B801">
        <v>10526</v>
      </c>
      <c r="C801" t="s">
        <v>286</v>
      </c>
      <c r="D801">
        <v>42860</v>
      </c>
      <c r="E801">
        <v>42888</v>
      </c>
      <c r="F801">
        <v>42870</v>
      </c>
      <c r="G801" t="s">
        <v>646</v>
      </c>
      <c r="H801">
        <v>292.95000000000005</v>
      </c>
      <c r="I801" t="s">
        <v>386</v>
      </c>
      <c r="J801" t="str">
        <f t="shared" si="12"/>
        <v>May</v>
      </c>
    </row>
    <row r="802" spans="2:10" hidden="1" x14ac:dyDescent="0.25">
      <c r="B802">
        <v>10553</v>
      </c>
      <c r="C802" t="s">
        <v>286</v>
      </c>
      <c r="D802">
        <v>42885</v>
      </c>
      <c r="E802">
        <v>42913</v>
      </c>
      <c r="F802">
        <v>42889</v>
      </c>
      <c r="G802" t="s">
        <v>646</v>
      </c>
      <c r="H802">
        <v>747.45</v>
      </c>
      <c r="I802" t="s">
        <v>386</v>
      </c>
      <c r="J802" t="str">
        <f t="shared" si="12"/>
        <v>May</v>
      </c>
    </row>
    <row r="803" spans="2:10" hidden="1" x14ac:dyDescent="0.25">
      <c r="B803">
        <v>10583</v>
      </c>
      <c r="C803" t="s">
        <v>286</v>
      </c>
      <c r="D803">
        <v>42916</v>
      </c>
      <c r="E803">
        <v>42944</v>
      </c>
      <c r="F803">
        <v>42920</v>
      </c>
      <c r="G803" t="s">
        <v>646</v>
      </c>
      <c r="H803">
        <v>36.4</v>
      </c>
      <c r="I803" t="s">
        <v>386</v>
      </c>
      <c r="J803" t="str">
        <f t="shared" si="12"/>
        <v>Jun</v>
      </c>
    </row>
    <row r="804" spans="2:10" hidden="1" x14ac:dyDescent="0.25">
      <c r="B804">
        <v>10636</v>
      </c>
      <c r="C804" t="s">
        <v>286</v>
      </c>
      <c r="D804">
        <v>42966</v>
      </c>
      <c r="E804">
        <v>42994</v>
      </c>
      <c r="F804">
        <v>42973</v>
      </c>
      <c r="G804" t="s">
        <v>645</v>
      </c>
      <c r="H804">
        <v>5.75</v>
      </c>
      <c r="I804" t="s">
        <v>386</v>
      </c>
      <c r="J804" t="str">
        <f t="shared" si="12"/>
        <v>Aug</v>
      </c>
    </row>
    <row r="805" spans="2:10" hidden="1" x14ac:dyDescent="0.25">
      <c r="B805">
        <v>10750</v>
      </c>
      <c r="C805" t="s">
        <v>286</v>
      </c>
      <c r="D805">
        <v>43060</v>
      </c>
      <c r="E805">
        <v>43088</v>
      </c>
      <c r="F805">
        <v>43063</v>
      </c>
      <c r="G805" t="s">
        <v>645</v>
      </c>
      <c r="H805">
        <v>396.5</v>
      </c>
      <c r="I805" t="s">
        <v>386</v>
      </c>
      <c r="J805" t="str">
        <f t="shared" si="12"/>
        <v>Nov</v>
      </c>
    </row>
    <row r="806" spans="2:10" hidden="1" x14ac:dyDescent="0.25">
      <c r="B806">
        <v>10781</v>
      </c>
      <c r="C806" t="s">
        <v>286</v>
      </c>
      <c r="D806">
        <v>43086</v>
      </c>
      <c r="E806">
        <v>43114</v>
      </c>
      <c r="F806">
        <v>43088</v>
      </c>
      <c r="G806" t="s">
        <v>647</v>
      </c>
      <c r="H806">
        <v>365.79999999999995</v>
      </c>
      <c r="I806" t="s">
        <v>386</v>
      </c>
      <c r="J806" t="str">
        <f t="shared" si="12"/>
        <v>Dec</v>
      </c>
    </row>
    <row r="807" spans="2:10" hidden="1" x14ac:dyDescent="0.25">
      <c r="B807">
        <v>11025</v>
      </c>
      <c r="C807" t="s">
        <v>286</v>
      </c>
      <c r="D807">
        <v>43205</v>
      </c>
      <c r="E807">
        <v>43233</v>
      </c>
      <c r="F807">
        <v>43214</v>
      </c>
      <c r="G807" t="s">
        <v>647</v>
      </c>
      <c r="H807">
        <v>145.85000000000002</v>
      </c>
      <c r="I807" t="s">
        <v>386</v>
      </c>
      <c r="J807" t="str">
        <f t="shared" si="12"/>
        <v>Apr</v>
      </c>
    </row>
    <row r="808" spans="2:10" hidden="1" x14ac:dyDescent="0.25">
      <c r="B808">
        <v>10256</v>
      </c>
      <c r="C808" t="s">
        <v>288</v>
      </c>
      <c r="D808">
        <v>42566</v>
      </c>
      <c r="E808">
        <v>42594</v>
      </c>
      <c r="F808">
        <v>42568</v>
      </c>
      <c r="G808" t="s">
        <v>646</v>
      </c>
      <c r="H808">
        <v>69.850000000000009</v>
      </c>
      <c r="I808" t="s">
        <v>387</v>
      </c>
      <c r="J808" t="str">
        <f t="shared" si="12"/>
        <v>Jul</v>
      </c>
    </row>
    <row r="809" spans="2:10" hidden="1" x14ac:dyDescent="0.25">
      <c r="B809">
        <v>10420</v>
      </c>
      <c r="C809" t="s">
        <v>288</v>
      </c>
      <c r="D809">
        <v>42756</v>
      </c>
      <c r="E809">
        <v>42784</v>
      </c>
      <c r="F809">
        <v>42762</v>
      </c>
      <c r="G809" t="s">
        <v>645</v>
      </c>
      <c r="H809">
        <v>220.6</v>
      </c>
      <c r="I809" t="s">
        <v>387</v>
      </c>
      <c r="J809" t="str">
        <f t="shared" si="12"/>
        <v>Jan</v>
      </c>
    </row>
    <row r="810" spans="2:10" hidden="1" x14ac:dyDescent="0.25">
      <c r="B810">
        <v>10585</v>
      </c>
      <c r="C810" t="s">
        <v>288</v>
      </c>
      <c r="D810">
        <v>42917</v>
      </c>
      <c r="E810">
        <v>42945</v>
      </c>
      <c r="F810">
        <v>42926</v>
      </c>
      <c r="G810" t="s">
        <v>645</v>
      </c>
      <c r="H810">
        <v>67.05</v>
      </c>
      <c r="I810" t="s">
        <v>387</v>
      </c>
      <c r="J810" t="str">
        <f t="shared" si="12"/>
        <v>Jul</v>
      </c>
    </row>
    <row r="811" spans="2:10" hidden="1" x14ac:dyDescent="0.25">
      <c r="B811">
        <v>10644</v>
      </c>
      <c r="C811" t="s">
        <v>288</v>
      </c>
      <c r="D811">
        <v>42972</v>
      </c>
      <c r="E811">
        <v>43000</v>
      </c>
      <c r="F811">
        <v>42979</v>
      </c>
      <c r="G811" t="s">
        <v>646</v>
      </c>
      <c r="H811">
        <v>0.70000000000000007</v>
      </c>
      <c r="I811" t="s">
        <v>387</v>
      </c>
      <c r="J811" t="str">
        <f t="shared" si="12"/>
        <v>Aug</v>
      </c>
    </row>
    <row r="812" spans="2:10" hidden="1" x14ac:dyDescent="0.25">
      <c r="B812">
        <v>10803</v>
      </c>
      <c r="C812" t="s">
        <v>288</v>
      </c>
      <c r="D812">
        <v>43099</v>
      </c>
      <c r="E812">
        <v>43127</v>
      </c>
      <c r="F812">
        <v>43106</v>
      </c>
      <c r="G812" t="s">
        <v>645</v>
      </c>
      <c r="H812">
        <v>276.14999999999998</v>
      </c>
      <c r="I812" t="s">
        <v>387</v>
      </c>
      <c r="J812" t="str">
        <f t="shared" si="12"/>
        <v>Dec</v>
      </c>
    </row>
    <row r="813" spans="2:10" hidden="1" x14ac:dyDescent="0.25">
      <c r="B813">
        <v>10809</v>
      </c>
      <c r="C813" t="s">
        <v>288</v>
      </c>
      <c r="D813">
        <v>43101</v>
      </c>
      <c r="E813">
        <v>43129</v>
      </c>
      <c r="F813">
        <v>43107</v>
      </c>
      <c r="G813" t="s">
        <v>645</v>
      </c>
      <c r="H813">
        <v>24.35</v>
      </c>
      <c r="I813" t="s">
        <v>387</v>
      </c>
      <c r="J813" t="str">
        <f t="shared" si="12"/>
        <v>Jan</v>
      </c>
    </row>
    <row r="814" spans="2:10" hidden="1" x14ac:dyDescent="0.25">
      <c r="B814">
        <v>10900</v>
      </c>
      <c r="C814" t="s">
        <v>288</v>
      </c>
      <c r="D814">
        <v>43151</v>
      </c>
      <c r="E814">
        <v>43179</v>
      </c>
      <c r="F814">
        <v>43163</v>
      </c>
      <c r="G814" t="s">
        <v>646</v>
      </c>
      <c r="H814">
        <v>8.2999999999999989</v>
      </c>
      <c r="I814" t="s">
        <v>387</v>
      </c>
      <c r="J814" t="str">
        <f t="shared" si="12"/>
        <v>Feb</v>
      </c>
    </row>
    <row r="815" spans="2:10" hidden="1" x14ac:dyDescent="0.25">
      <c r="B815">
        <v>10905</v>
      </c>
      <c r="C815" t="s">
        <v>288</v>
      </c>
      <c r="D815">
        <v>43155</v>
      </c>
      <c r="E815">
        <v>43183</v>
      </c>
      <c r="F815">
        <v>43165</v>
      </c>
      <c r="G815" t="s">
        <v>646</v>
      </c>
      <c r="H815">
        <v>68.600000000000009</v>
      </c>
      <c r="I815" t="s">
        <v>387</v>
      </c>
      <c r="J815" t="str">
        <f t="shared" si="12"/>
        <v>Feb</v>
      </c>
    </row>
    <row r="816" spans="2:10" hidden="1" x14ac:dyDescent="0.25">
      <c r="B816">
        <v>10935</v>
      </c>
      <c r="C816" t="s">
        <v>288</v>
      </c>
      <c r="D816">
        <v>43168</v>
      </c>
      <c r="E816">
        <v>43196</v>
      </c>
      <c r="F816">
        <v>43177</v>
      </c>
      <c r="G816" t="s">
        <v>647</v>
      </c>
      <c r="H816">
        <v>237.95000000000002</v>
      </c>
      <c r="I816" t="s">
        <v>387</v>
      </c>
      <c r="J816" t="str">
        <f t="shared" si="12"/>
        <v>Mar</v>
      </c>
    </row>
    <row r="817" spans="2:10" hidden="1" x14ac:dyDescent="0.25">
      <c r="B817">
        <v>10269</v>
      </c>
      <c r="C817" t="s">
        <v>290</v>
      </c>
      <c r="D817">
        <v>42582</v>
      </c>
      <c r="E817">
        <v>42596</v>
      </c>
      <c r="F817">
        <v>42591</v>
      </c>
      <c r="G817" t="s">
        <v>645</v>
      </c>
      <c r="H817">
        <v>22.799999999999997</v>
      </c>
      <c r="I817" t="s">
        <v>1</v>
      </c>
      <c r="J817" t="str">
        <f t="shared" si="12"/>
        <v>Jul</v>
      </c>
    </row>
    <row r="818" spans="2:10" hidden="1" x14ac:dyDescent="0.25">
      <c r="B818">
        <v>10344</v>
      </c>
      <c r="C818" t="s">
        <v>290</v>
      </c>
      <c r="D818">
        <v>42675</v>
      </c>
      <c r="E818">
        <v>42703</v>
      </c>
      <c r="F818">
        <v>42679</v>
      </c>
      <c r="G818" t="s">
        <v>646</v>
      </c>
      <c r="H818">
        <v>116.44999999999999</v>
      </c>
      <c r="I818" t="s">
        <v>1</v>
      </c>
      <c r="J818" t="str">
        <f t="shared" si="12"/>
        <v>Nov</v>
      </c>
    </row>
    <row r="819" spans="2:10" hidden="1" x14ac:dyDescent="0.25">
      <c r="B819">
        <v>10469</v>
      </c>
      <c r="C819" t="s">
        <v>290</v>
      </c>
      <c r="D819">
        <v>42804</v>
      </c>
      <c r="E819">
        <v>42832</v>
      </c>
      <c r="F819">
        <v>42808</v>
      </c>
      <c r="G819" t="s">
        <v>645</v>
      </c>
      <c r="H819">
        <v>300.89999999999998</v>
      </c>
      <c r="I819" t="s">
        <v>1</v>
      </c>
      <c r="J819" t="str">
        <f t="shared" si="12"/>
        <v>Mar</v>
      </c>
    </row>
    <row r="820" spans="2:10" hidden="1" x14ac:dyDescent="0.25">
      <c r="B820">
        <v>10483</v>
      </c>
      <c r="C820" t="s">
        <v>290</v>
      </c>
      <c r="D820">
        <v>42818</v>
      </c>
      <c r="E820">
        <v>42846</v>
      </c>
      <c r="F820">
        <v>42850</v>
      </c>
      <c r="G820" t="s">
        <v>646</v>
      </c>
      <c r="H820">
        <v>76.399999999999991</v>
      </c>
      <c r="I820" t="s">
        <v>1</v>
      </c>
      <c r="J820" t="str">
        <f t="shared" si="12"/>
        <v>Mar</v>
      </c>
    </row>
    <row r="821" spans="2:10" hidden="1" x14ac:dyDescent="0.25">
      <c r="B821">
        <v>10504</v>
      </c>
      <c r="C821" t="s">
        <v>290</v>
      </c>
      <c r="D821">
        <v>42836</v>
      </c>
      <c r="E821">
        <v>42864</v>
      </c>
      <c r="F821">
        <v>42843</v>
      </c>
      <c r="G821" t="s">
        <v>647</v>
      </c>
      <c r="H821">
        <v>295.65000000000003</v>
      </c>
      <c r="I821" t="s">
        <v>1</v>
      </c>
      <c r="J821" t="str">
        <f t="shared" si="12"/>
        <v>Apr</v>
      </c>
    </row>
    <row r="822" spans="2:10" hidden="1" x14ac:dyDescent="0.25">
      <c r="B822">
        <v>10596</v>
      </c>
      <c r="C822" t="s">
        <v>290</v>
      </c>
      <c r="D822">
        <v>42927</v>
      </c>
      <c r="E822">
        <v>42955</v>
      </c>
      <c r="F822">
        <v>42959</v>
      </c>
      <c r="G822" t="s">
        <v>645</v>
      </c>
      <c r="H822">
        <v>81.7</v>
      </c>
      <c r="I822" t="s">
        <v>1</v>
      </c>
      <c r="J822" t="str">
        <f t="shared" si="12"/>
        <v>Jul</v>
      </c>
    </row>
    <row r="823" spans="2:10" hidden="1" x14ac:dyDescent="0.25">
      <c r="B823">
        <v>10693</v>
      </c>
      <c r="C823" t="s">
        <v>290</v>
      </c>
      <c r="D823">
        <v>43014</v>
      </c>
      <c r="E823">
        <v>43028</v>
      </c>
      <c r="F823">
        <v>43018</v>
      </c>
      <c r="G823" t="s">
        <v>647</v>
      </c>
      <c r="H823">
        <v>696.7</v>
      </c>
      <c r="I823" t="s">
        <v>1</v>
      </c>
      <c r="J823" t="str">
        <f t="shared" si="12"/>
        <v>Oct</v>
      </c>
    </row>
    <row r="824" spans="2:10" hidden="1" x14ac:dyDescent="0.25">
      <c r="B824">
        <v>10696</v>
      </c>
      <c r="C824" t="s">
        <v>290</v>
      </c>
      <c r="D824">
        <v>43016</v>
      </c>
      <c r="E824">
        <v>43058</v>
      </c>
      <c r="F824">
        <v>43022</v>
      </c>
      <c r="G824" t="s">
        <v>647</v>
      </c>
      <c r="H824">
        <v>512.75</v>
      </c>
      <c r="I824" t="s">
        <v>1</v>
      </c>
      <c r="J824" t="str">
        <f t="shared" si="12"/>
        <v>Oct</v>
      </c>
    </row>
    <row r="825" spans="2:10" hidden="1" x14ac:dyDescent="0.25">
      <c r="B825">
        <v>10723</v>
      </c>
      <c r="C825" t="s">
        <v>290</v>
      </c>
      <c r="D825">
        <v>43038</v>
      </c>
      <c r="E825">
        <v>43066</v>
      </c>
      <c r="F825">
        <v>43064</v>
      </c>
      <c r="G825" t="s">
        <v>645</v>
      </c>
      <c r="H825">
        <v>108.6</v>
      </c>
      <c r="I825" t="s">
        <v>1</v>
      </c>
      <c r="J825" t="str">
        <f t="shared" si="12"/>
        <v>Oct</v>
      </c>
    </row>
    <row r="826" spans="2:10" hidden="1" x14ac:dyDescent="0.25">
      <c r="B826">
        <v>10740</v>
      </c>
      <c r="C826" t="s">
        <v>290</v>
      </c>
      <c r="D826">
        <v>43052</v>
      </c>
      <c r="E826">
        <v>43080</v>
      </c>
      <c r="F826">
        <v>43064</v>
      </c>
      <c r="G826" t="s">
        <v>646</v>
      </c>
      <c r="H826">
        <v>409.4</v>
      </c>
      <c r="I826" t="s">
        <v>1</v>
      </c>
      <c r="J826" t="str">
        <f t="shared" si="12"/>
        <v>Nov</v>
      </c>
    </row>
    <row r="827" spans="2:10" hidden="1" x14ac:dyDescent="0.25">
      <c r="B827">
        <v>10861</v>
      </c>
      <c r="C827" t="s">
        <v>290</v>
      </c>
      <c r="D827">
        <v>43130</v>
      </c>
      <c r="E827">
        <v>43158</v>
      </c>
      <c r="F827">
        <v>43148</v>
      </c>
      <c r="G827" t="s">
        <v>646</v>
      </c>
      <c r="H827">
        <v>74.650000000000006</v>
      </c>
      <c r="I827" t="s">
        <v>1</v>
      </c>
      <c r="J827" t="str">
        <f t="shared" si="12"/>
        <v>Jan</v>
      </c>
    </row>
    <row r="828" spans="2:10" hidden="1" x14ac:dyDescent="0.25">
      <c r="B828">
        <v>10904</v>
      </c>
      <c r="C828" t="s">
        <v>290</v>
      </c>
      <c r="D828">
        <v>43155</v>
      </c>
      <c r="E828">
        <v>43183</v>
      </c>
      <c r="F828">
        <v>43158</v>
      </c>
      <c r="G828" t="s">
        <v>647</v>
      </c>
      <c r="H828">
        <v>814.75</v>
      </c>
      <c r="I828" t="s">
        <v>1</v>
      </c>
      <c r="J828" t="str">
        <f t="shared" si="12"/>
        <v>Feb</v>
      </c>
    </row>
    <row r="829" spans="2:10" hidden="1" x14ac:dyDescent="0.25">
      <c r="B829">
        <v>11032</v>
      </c>
      <c r="C829" t="s">
        <v>290</v>
      </c>
      <c r="D829">
        <v>43207</v>
      </c>
      <c r="E829">
        <v>43235</v>
      </c>
      <c r="F829">
        <v>43213</v>
      </c>
      <c r="G829" t="s">
        <v>647</v>
      </c>
      <c r="H829">
        <v>3030.9500000000003</v>
      </c>
      <c r="I829" t="s">
        <v>1</v>
      </c>
      <c r="J829" t="str">
        <f t="shared" si="12"/>
        <v>Apr</v>
      </c>
    </row>
    <row r="830" spans="2:10" hidden="1" x14ac:dyDescent="0.25">
      <c r="B830">
        <v>11066</v>
      </c>
      <c r="C830" t="s">
        <v>290</v>
      </c>
      <c r="D830">
        <v>43221</v>
      </c>
      <c r="E830">
        <v>43249</v>
      </c>
      <c r="F830">
        <v>43224</v>
      </c>
      <c r="G830" t="s">
        <v>646</v>
      </c>
      <c r="H830">
        <v>223.6</v>
      </c>
      <c r="I830" t="s">
        <v>1</v>
      </c>
      <c r="J830" t="str">
        <f t="shared" si="12"/>
        <v>May</v>
      </c>
    </row>
    <row r="831" spans="2:10" hidden="1" x14ac:dyDescent="0.25">
      <c r="B831">
        <v>10248</v>
      </c>
      <c r="C831" t="s">
        <v>293</v>
      </c>
      <c r="D831">
        <v>42555</v>
      </c>
      <c r="E831">
        <v>42583</v>
      </c>
      <c r="F831">
        <v>42567</v>
      </c>
      <c r="G831" t="s">
        <v>647</v>
      </c>
      <c r="H831">
        <v>161.9</v>
      </c>
      <c r="I831" t="s">
        <v>0</v>
      </c>
      <c r="J831" t="str">
        <f t="shared" si="12"/>
        <v>Jul</v>
      </c>
    </row>
    <row r="832" spans="2:10" hidden="1" x14ac:dyDescent="0.25">
      <c r="B832">
        <v>10615</v>
      </c>
      <c r="C832" t="s">
        <v>293</v>
      </c>
      <c r="D832">
        <v>42946</v>
      </c>
      <c r="E832">
        <v>42974</v>
      </c>
      <c r="F832">
        <v>42953</v>
      </c>
      <c r="G832" t="s">
        <v>647</v>
      </c>
      <c r="H832">
        <v>3.75</v>
      </c>
      <c r="I832" t="s">
        <v>0</v>
      </c>
      <c r="J832" t="str">
        <f t="shared" si="12"/>
        <v>Jul</v>
      </c>
    </row>
    <row r="833" spans="2:10" hidden="1" x14ac:dyDescent="0.25">
      <c r="B833">
        <v>10673</v>
      </c>
      <c r="C833" t="s">
        <v>293</v>
      </c>
      <c r="D833">
        <v>42996</v>
      </c>
      <c r="E833">
        <v>43024</v>
      </c>
      <c r="F833">
        <v>42997</v>
      </c>
      <c r="G833" t="s">
        <v>645</v>
      </c>
      <c r="H833">
        <v>113.80000000000001</v>
      </c>
      <c r="I833" t="s">
        <v>0</v>
      </c>
      <c r="J833" t="str">
        <f t="shared" si="12"/>
        <v>Sep</v>
      </c>
    </row>
    <row r="834" spans="2:10" hidden="1" x14ac:dyDescent="0.25">
      <c r="B834">
        <v>10695</v>
      </c>
      <c r="C834" t="s">
        <v>293</v>
      </c>
      <c r="D834">
        <v>43015</v>
      </c>
      <c r="E834">
        <v>43057</v>
      </c>
      <c r="F834">
        <v>43022</v>
      </c>
      <c r="G834" t="s">
        <v>645</v>
      </c>
      <c r="H834">
        <v>83.6</v>
      </c>
      <c r="I834" t="s">
        <v>0</v>
      </c>
      <c r="J834" t="str">
        <f t="shared" si="12"/>
        <v>Oct</v>
      </c>
    </row>
    <row r="835" spans="2:10" hidden="1" x14ac:dyDescent="0.25">
      <c r="B835">
        <v>10873</v>
      </c>
      <c r="C835" t="s">
        <v>293</v>
      </c>
      <c r="D835">
        <v>43137</v>
      </c>
      <c r="E835">
        <v>43165</v>
      </c>
      <c r="F835">
        <v>43140</v>
      </c>
      <c r="G835" t="s">
        <v>645</v>
      </c>
      <c r="H835">
        <v>4.0999999999999996</v>
      </c>
      <c r="I835" t="s">
        <v>0</v>
      </c>
      <c r="J835" t="str">
        <f t="shared" si="12"/>
        <v>Feb</v>
      </c>
    </row>
    <row r="836" spans="2:10" hidden="1" x14ac:dyDescent="0.25">
      <c r="B836">
        <v>10879</v>
      </c>
      <c r="C836" t="s">
        <v>293</v>
      </c>
      <c r="D836">
        <v>43141</v>
      </c>
      <c r="E836">
        <v>43169</v>
      </c>
      <c r="F836">
        <v>43143</v>
      </c>
      <c r="G836" t="s">
        <v>647</v>
      </c>
      <c r="H836">
        <v>42.5</v>
      </c>
      <c r="I836" t="s">
        <v>0</v>
      </c>
      <c r="J836" t="str">
        <f t="shared" si="12"/>
        <v>Feb</v>
      </c>
    </row>
    <row r="837" spans="2:10" hidden="1" x14ac:dyDescent="0.25">
      <c r="B837">
        <v>10910</v>
      </c>
      <c r="C837" t="s">
        <v>293</v>
      </c>
      <c r="D837">
        <v>43157</v>
      </c>
      <c r="E837">
        <v>43185</v>
      </c>
      <c r="F837">
        <v>43163</v>
      </c>
      <c r="G837" t="s">
        <v>647</v>
      </c>
      <c r="H837">
        <v>190.55</v>
      </c>
      <c r="I837" t="s">
        <v>0</v>
      </c>
      <c r="J837" t="str">
        <f t="shared" si="12"/>
        <v>Feb</v>
      </c>
    </row>
    <row r="838" spans="2:10" hidden="1" x14ac:dyDescent="0.25">
      <c r="B838">
        <v>11005</v>
      </c>
      <c r="C838" t="s">
        <v>293</v>
      </c>
      <c r="D838">
        <v>43197</v>
      </c>
      <c r="E838">
        <v>43225</v>
      </c>
      <c r="F838">
        <v>43200</v>
      </c>
      <c r="G838" t="s">
        <v>645</v>
      </c>
      <c r="H838">
        <v>3.75</v>
      </c>
      <c r="I838" t="s">
        <v>0</v>
      </c>
      <c r="J838" t="str">
        <f t="shared" si="12"/>
        <v>Apr</v>
      </c>
    </row>
    <row r="839" spans="2:10" hidden="1" x14ac:dyDescent="0.25">
      <c r="B839">
        <v>10374</v>
      </c>
      <c r="C839" t="s">
        <v>296</v>
      </c>
      <c r="D839">
        <v>42709</v>
      </c>
      <c r="E839">
        <v>42737</v>
      </c>
      <c r="F839">
        <v>42713</v>
      </c>
      <c r="G839" t="s">
        <v>647</v>
      </c>
      <c r="H839">
        <v>19.7</v>
      </c>
      <c r="I839" t="s">
        <v>388</v>
      </c>
      <c r="J839" t="str">
        <f t="shared" si="12"/>
        <v>Dec</v>
      </c>
    </row>
    <row r="840" spans="2:10" hidden="1" x14ac:dyDescent="0.25">
      <c r="B840">
        <v>10611</v>
      </c>
      <c r="C840" t="s">
        <v>296</v>
      </c>
      <c r="D840">
        <v>42941</v>
      </c>
      <c r="E840">
        <v>42969</v>
      </c>
      <c r="F840">
        <v>42948</v>
      </c>
      <c r="G840" t="s">
        <v>646</v>
      </c>
      <c r="H840">
        <v>403.25</v>
      </c>
      <c r="I840" t="s">
        <v>388</v>
      </c>
      <c r="J840" t="str">
        <f t="shared" si="12"/>
        <v>Jul</v>
      </c>
    </row>
    <row r="841" spans="2:10" hidden="1" x14ac:dyDescent="0.25">
      <c r="B841">
        <v>10792</v>
      </c>
      <c r="C841" t="s">
        <v>296</v>
      </c>
      <c r="D841">
        <v>43092</v>
      </c>
      <c r="E841">
        <v>43120</v>
      </c>
      <c r="F841">
        <v>43100</v>
      </c>
      <c r="G841" t="s">
        <v>647</v>
      </c>
      <c r="H841">
        <v>118.94999999999999</v>
      </c>
      <c r="I841" t="s">
        <v>388</v>
      </c>
      <c r="J841" t="str">
        <f t="shared" si="12"/>
        <v>Dec</v>
      </c>
    </row>
    <row r="842" spans="2:10" hidden="1" x14ac:dyDescent="0.25">
      <c r="B842">
        <v>10870</v>
      </c>
      <c r="C842" t="s">
        <v>296</v>
      </c>
      <c r="D842">
        <v>43135</v>
      </c>
      <c r="E842">
        <v>43163</v>
      </c>
      <c r="F842">
        <v>43144</v>
      </c>
      <c r="G842" t="s">
        <v>647</v>
      </c>
      <c r="H842">
        <v>60.199999999999996</v>
      </c>
      <c r="I842" t="s">
        <v>388</v>
      </c>
      <c r="J842" t="str">
        <f t="shared" si="12"/>
        <v>Feb</v>
      </c>
    </row>
    <row r="843" spans="2:10" hidden="1" x14ac:dyDescent="0.25">
      <c r="B843">
        <v>10906</v>
      </c>
      <c r="C843" t="s">
        <v>296</v>
      </c>
      <c r="D843">
        <v>43156</v>
      </c>
      <c r="E843">
        <v>43170</v>
      </c>
      <c r="F843">
        <v>43162</v>
      </c>
      <c r="G843" t="s">
        <v>647</v>
      </c>
      <c r="H843">
        <v>131.44999999999999</v>
      </c>
      <c r="I843" t="s">
        <v>388</v>
      </c>
      <c r="J843" t="str">
        <f t="shared" si="12"/>
        <v>Feb</v>
      </c>
    </row>
    <row r="844" spans="2:10" hidden="1" x14ac:dyDescent="0.25">
      <c r="B844">
        <v>10998</v>
      </c>
      <c r="C844" t="s">
        <v>296</v>
      </c>
      <c r="D844">
        <v>43193</v>
      </c>
      <c r="E844">
        <v>43207</v>
      </c>
      <c r="F844">
        <v>43207</v>
      </c>
      <c r="G844" t="s">
        <v>646</v>
      </c>
      <c r="H844">
        <v>101.55</v>
      </c>
      <c r="I844" t="s">
        <v>388</v>
      </c>
      <c r="J844" t="str">
        <f t="shared" si="12"/>
        <v>Apr</v>
      </c>
    </row>
    <row r="845" spans="2:10" hidden="1" x14ac:dyDescent="0.25">
      <c r="B845">
        <v>11044</v>
      </c>
      <c r="C845" t="s">
        <v>296</v>
      </c>
      <c r="D845">
        <v>43213</v>
      </c>
      <c r="E845">
        <v>43241</v>
      </c>
      <c r="F845">
        <v>43221</v>
      </c>
      <c r="G845" t="s">
        <v>645</v>
      </c>
      <c r="H845">
        <v>43.6</v>
      </c>
      <c r="I845" t="s">
        <v>388</v>
      </c>
      <c r="J845" t="str">
        <f t="shared" si="12"/>
        <v>Apr</v>
      </c>
    </row>
    <row r="846" spans="2:10" hidden="1" x14ac:dyDescent="0.25">
      <c r="B846"/>
      <c r="C846"/>
      <c r="D846"/>
      <c r="E846"/>
      <c r="F846"/>
      <c r="G846"/>
      <c r="H846"/>
      <c r="I846"/>
      <c r="J846"/>
    </row>
    <row r="847" spans="2:10" hidden="1" x14ac:dyDescent="0.25">
      <c r="B847"/>
      <c r="C847"/>
      <c r="D847"/>
      <c r="E847"/>
      <c r="F847"/>
      <c r="G847"/>
      <c r="H847"/>
      <c r="I847"/>
      <c r="J847"/>
    </row>
    <row r="848" spans="2:10" hidden="1" x14ac:dyDescent="0.25">
      <c r="B848"/>
      <c r="C848"/>
      <c r="D848"/>
      <c r="E848"/>
      <c r="F848"/>
      <c r="G848"/>
      <c r="H848"/>
      <c r="I848"/>
      <c r="J848"/>
    </row>
    <row r="849" spans="2:10" hidden="1" x14ac:dyDescent="0.25">
      <c r="B849"/>
      <c r="C849"/>
      <c r="D849"/>
      <c r="E849"/>
      <c r="F849"/>
      <c r="G849"/>
      <c r="H849"/>
      <c r="I849"/>
      <c r="J849"/>
    </row>
    <row r="850" spans="2:10" hidden="1" x14ac:dyDescent="0.25">
      <c r="B850"/>
      <c r="C850"/>
      <c r="D850"/>
      <c r="E850"/>
      <c r="F850"/>
      <c r="G850"/>
      <c r="H850"/>
      <c r="I850"/>
      <c r="J850"/>
    </row>
    <row r="851" spans="2:10" hidden="1" x14ac:dyDescent="0.25">
      <c r="B851"/>
      <c r="C851"/>
      <c r="D851"/>
      <c r="E851"/>
      <c r="F851"/>
      <c r="G851"/>
      <c r="H851"/>
      <c r="I851"/>
      <c r="J851"/>
    </row>
    <row r="852" spans="2:10" hidden="1" x14ac:dyDescent="0.25">
      <c r="B852"/>
      <c r="C852"/>
      <c r="D852"/>
      <c r="E852"/>
      <c r="F852"/>
      <c r="G852"/>
      <c r="H852"/>
      <c r="I852"/>
      <c r="J852"/>
    </row>
    <row r="853" spans="2:10" hidden="1" x14ac:dyDescent="0.25">
      <c r="B853"/>
      <c r="C853"/>
      <c r="D853"/>
      <c r="E853"/>
      <c r="F853"/>
      <c r="G853"/>
      <c r="H853"/>
      <c r="I853"/>
      <c r="J853"/>
    </row>
    <row r="854" spans="2:10" hidden="1" x14ac:dyDescent="0.25">
      <c r="B854"/>
      <c r="C854"/>
      <c r="D854"/>
      <c r="E854"/>
      <c r="F854"/>
      <c r="G854"/>
      <c r="H854"/>
      <c r="I854"/>
      <c r="J854"/>
    </row>
    <row r="855" spans="2:10" hidden="1" x14ac:dyDescent="0.25">
      <c r="B855"/>
      <c r="C855"/>
      <c r="D855"/>
      <c r="E855"/>
      <c r="F855"/>
      <c r="G855"/>
      <c r="H855"/>
      <c r="I855"/>
      <c r="J855"/>
    </row>
    <row r="856" spans="2:10" hidden="1" x14ac:dyDescent="0.25">
      <c r="B856"/>
      <c r="C856"/>
      <c r="D856"/>
      <c r="E856"/>
      <c r="F856"/>
      <c r="G856"/>
      <c r="H856"/>
      <c r="I856"/>
      <c r="J856"/>
    </row>
    <row r="857" spans="2:10" hidden="1" x14ac:dyDescent="0.25">
      <c r="B857"/>
      <c r="C857"/>
      <c r="D857"/>
      <c r="E857"/>
      <c r="F857"/>
      <c r="G857"/>
      <c r="H857"/>
      <c r="I857"/>
      <c r="J857"/>
    </row>
    <row r="858" spans="2:10" hidden="1" x14ac:dyDescent="0.25">
      <c r="B858"/>
      <c r="C858"/>
      <c r="D858"/>
      <c r="E858"/>
      <c r="F858"/>
      <c r="G858"/>
      <c r="H858"/>
      <c r="I858"/>
      <c r="J858"/>
    </row>
    <row r="859" spans="2:10" hidden="1" x14ac:dyDescent="0.25">
      <c r="B859"/>
      <c r="C859"/>
      <c r="D859"/>
      <c r="E859"/>
      <c r="F859"/>
      <c r="G859"/>
      <c r="H859"/>
      <c r="I859"/>
      <c r="J859"/>
    </row>
    <row r="860" spans="2:10" hidden="1" x14ac:dyDescent="0.25">
      <c r="B860"/>
      <c r="C860"/>
      <c r="D860"/>
      <c r="E860"/>
      <c r="F860"/>
      <c r="G860"/>
      <c r="H860"/>
      <c r="I860"/>
      <c r="J860"/>
    </row>
    <row r="861" spans="2:10" hidden="1" x14ac:dyDescent="0.25">
      <c r="B861"/>
      <c r="C861"/>
      <c r="D861"/>
      <c r="E861"/>
      <c r="F861"/>
      <c r="G861"/>
      <c r="H861"/>
      <c r="I861"/>
      <c r="J861"/>
    </row>
    <row r="862" spans="2:10" hidden="1" x14ac:dyDescent="0.25">
      <c r="B862"/>
      <c r="C862"/>
      <c r="D862"/>
      <c r="E862"/>
      <c r="F862"/>
      <c r="G862"/>
      <c r="H862"/>
      <c r="I862"/>
      <c r="J862"/>
    </row>
    <row r="863" spans="2:10" hidden="1" x14ac:dyDescent="0.25">
      <c r="B863"/>
      <c r="C863"/>
      <c r="D863"/>
      <c r="E863"/>
      <c r="F863"/>
      <c r="G863"/>
      <c r="H863"/>
      <c r="I863"/>
      <c r="J863"/>
    </row>
    <row r="864" spans="2:10" hidden="1" x14ac:dyDescent="0.25">
      <c r="B864"/>
      <c r="C864"/>
      <c r="D864"/>
      <c r="E864"/>
      <c r="F864"/>
      <c r="G864"/>
      <c r="H864"/>
      <c r="I864"/>
      <c r="J864"/>
    </row>
    <row r="865" spans="2:10" hidden="1" x14ac:dyDescent="0.25">
      <c r="B865"/>
      <c r="C865"/>
      <c r="D865"/>
      <c r="E865"/>
      <c r="F865"/>
      <c r="G865"/>
      <c r="H865"/>
      <c r="I865"/>
      <c r="J865"/>
    </row>
    <row r="866" spans="2:10" hidden="1" x14ac:dyDescent="0.25">
      <c r="B866"/>
      <c r="C866"/>
      <c r="D866"/>
      <c r="E866"/>
      <c r="F866"/>
      <c r="G866"/>
      <c r="H866"/>
      <c r="I866"/>
      <c r="J866"/>
    </row>
    <row r="867" spans="2:10" hidden="1" x14ac:dyDescent="0.25">
      <c r="B867"/>
      <c r="C867"/>
      <c r="D867"/>
      <c r="E867"/>
      <c r="F867"/>
      <c r="G867"/>
      <c r="H867"/>
      <c r="I867"/>
      <c r="J867"/>
    </row>
    <row r="868" spans="2:10" hidden="1" x14ac:dyDescent="0.25">
      <c r="B868"/>
      <c r="C868"/>
      <c r="D868"/>
      <c r="E868"/>
      <c r="F868"/>
      <c r="G868"/>
      <c r="H868"/>
      <c r="I868"/>
      <c r="J868"/>
    </row>
    <row r="869" spans="2:10" hidden="1" x14ac:dyDescent="0.25">
      <c r="B869"/>
      <c r="C869"/>
      <c r="D869"/>
      <c r="E869"/>
      <c r="F869"/>
      <c r="G869"/>
      <c r="H869"/>
      <c r="I869"/>
      <c r="J869"/>
    </row>
    <row r="870" spans="2:10" hidden="1" x14ac:dyDescent="0.25">
      <c r="B870"/>
      <c r="C870"/>
      <c r="D870"/>
      <c r="E870"/>
      <c r="F870"/>
      <c r="G870"/>
      <c r="H870"/>
      <c r="I870"/>
      <c r="J870"/>
    </row>
    <row r="871" spans="2:10" hidden="1" x14ac:dyDescent="0.25">
      <c r="B871"/>
      <c r="C871"/>
      <c r="D871"/>
      <c r="E871"/>
      <c r="F871"/>
      <c r="G871"/>
      <c r="H871"/>
      <c r="I871"/>
      <c r="J871"/>
    </row>
    <row r="872" spans="2:10" hidden="1" x14ac:dyDescent="0.25">
      <c r="B872"/>
      <c r="C872"/>
      <c r="D872"/>
      <c r="E872"/>
      <c r="F872"/>
      <c r="G872"/>
      <c r="H872"/>
      <c r="I872"/>
      <c r="J872"/>
    </row>
    <row r="873" spans="2:10" hidden="1" x14ac:dyDescent="0.25">
      <c r="B873"/>
      <c r="C873"/>
      <c r="D873"/>
      <c r="E873"/>
      <c r="F873"/>
      <c r="G873"/>
      <c r="H873"/>
      <c r="I873"/>
      <c r="J873"/>
    </row>
    <row r="874" spans="2:10" hidden="1" x14ac:dyDescent="0.25">
      <c r="B874"/>
      <c r="C874"/>
      <c r="D874"/>
      <c r="E874"/>
      <c r="F874"/>
      <c r="G874"/>
      <c r="H874"/>
      <c r="I874"/>
      <c r="J874"/>
    </row>
    <row r="875" spans="2:10" hidden="1" x14ac:dyDescent="0.25">
      <c r="B875"/>
      <c r="C875"/>
      <c r="D875"/>
      <c r="E875"/>
      <c r="F875"/>
      <c r="G875"/>
      <c r="H875"/>
      <c r="I875"/>
      <c r="J875"/>
    </row>
    <row r="876" spans="2:10" hidden="1" x14ac:dyDescent="0.25">
      <c r="B876"/>
      <c r="C876"/>
      <c r="D876"/>
      <c r="E876"/>
      <c r="F876"/>
      <c r="G876"/>
      <c r="H876"/>
      <c r="I876"/>
      <c r="J876"/>
    </row>
    <row r="877" spans="2:10" hidden="1" x14ac:dyDescent="0.25">
      <c r="B877"/>
      <c r="C877"/>
      <c r="D877"/>
      <c r="E877"/>
      <c r="F877"/>
      <c r="G877"/>
      <c r="H877"/>
      <c r="I877"/>
      <c r="J877"/>
    </row>
    <row r="878" spans="2:10" hidden="1" x14ac:dyDescent="0.25">
      <c r="B878"/>
      <c r="C878"/>
      <c r="D878"/>
      <c r="E878"/>
      <c r="F878"/>
      <c r="G878"/>
      <c r="H878"/>
      <c r="I878"/>
      <c r="J878"/>
    </row>
    <row r="879" spans="2:10" hidden="1" x14ac:dyDescent="0.25">
      <c r="B879"/>
      <c r="C879"/>
      <c r="D879"/>
      <c r="E879"/>
      <c r="F879"/>
      <c r="G879"/>
      <c r="H879"/>
      <c r="I879"/>
      <c r="J879"/>
    </row>
    <row r="880" spans="2:10" hidden="1" x14ac:dyDescent="0.25">
      <c r="B880"/>
      <c r="C880"/>
      <c r="D880"/>
      <c r="E880"/>
      <c r="F880"/>
      <c r="G880"/>
      <c r="H880"/>
      <c r="I880"/>
      <c r="J880"/>
    </row>
    <row r="881" spans="2:10" hidden="1" x14ac:dyDescent="0.25">
      <c r="B881"/>
      <c r="C881"/>
      <c r="D881"/>
      <c r="E881"/>
      <c r="F881"/>
      <c r="G881"/>
      <c r="H881"/>
      <c r="I881"/>
      <c r="J881"/>
    </row>
    <row r="882" spans="2:10" hidden="1" x14ac:dyDescent="0.25">
      <c r="B882"/>
      <c r="C882"/>
      <c r="D882"/>
      <c r="E882"/>
      <c r="F882"/>
      <c r="G882"/>
      <c r="H882"/>
      <c r="I882"/>
      <c r="J882"/>
    </row>
    <row r="883" spans="2:10" hidden="1" x14ac:dyDescent="0.25">
      <c r="B883"/>
      <c r="C883"/>
      <c r="D883"/>
      <c r="E883"/>
      <c r="F883"/>
      <c r="G883"/>
      <c r="H883"/>
      <c r="I883"/>
      <c r="J883"/>
    </row>
    <row r="884" spans="2:10" hidden="1" x14ac:dyDescent="0.25">
      <c r="B884"/>
      <c r="C884"/>
      <c r="D884"/>
      <c r="E884"/>
      <c r="F884"/>
      <c r="G884"/>
      <c r="H884"/>
      <c r="I884"/>
      <c r="J884"/>
    </row>
    <row r="885" spans="2:10" hidden="1" x14ac:dyDescent="0.25">
      <c r="B885"/>
      <c r="C885"/>
      <c r="D885"/>
      <c r="E885"/>
      <c r="F885"/>
      <c r="G885"/>
      <c r="H885"/>
      <c r="I885"/>
      <c r="J885"/>
    </row>
    <row r="886" spans="2:10" hidden="1" x14ac:dyDescent="0.25">
      <c r="B886"/>
      <c r="C886"/>
      <c r="D886"/>
      <c r="E886"/>
      <c r="F886"/>
      <c r="G886"/>
      <c r="H886"/>
      <c r="I886"/>
      <c r="J886"/>
    </row>
    <row r="887" spans="2:10" hidden="1" x14ac:dyDescent="0.25">
      <c r="B887"/>
      <c r="C887"/>
      <c r="D887"/>
      <c r="E887"/>
      <c r="F887"/>
      <c r="G887"/>
      <c r="H887"/>
      <c r="I887"/>
      <c r="J887"/>
    </row>
    <row r="888" spans="2:10" hidden="1" x14ac:dyDescent="0.25">
      <c r="B888"/>
      <c r="C888"/>
      <c r="D888"/>
      <c r="E888"/>
      <c r="F888"/>
      <c r="G888"/>
      <c r="H888"/>
      <c r="I888"/>
      <c r="J888"/>
    </row>
    <row r="889" spans="2:10" hidden="1" x14ac:dyDescent="0.25">
      <c r="B889"/>
      <c r="C889"/>
      <c r="D889"/>
      <c r="E889"/>
      <c r="F889"/>
      <c r="G889"/>
      <c r="H889"/>
      <c r="I889"/>
      <c r="J889"/>
    </row>
    <row r="890" spans="2:10" hidden="1" x14ac:dyDescent="0.25">
      <c r="B890"/>
      <c r="C890"/>
      <c r="D890"/>
      <c r="E890"/>
      <c r="F890"/>
      <c r="G890"/>
      <c r="H890"/>
      <c r="I890"/>
      <c r="J890"/>
    </row>
    <row r="891" spans="2:10" hidden="1" x14ac:dyDescent="0.25">
      <c r="B891"/>
      <c r="C891"/>
      <c r="D891"/>
      <c r="E891"/>
      <c r="F891"/>
      <c r="G891"/>
      <c r="H891"/>
      <c r="I891"/>
      <c r="J891"/>
    </row>
    <row r="892" spans="2:10" hidden="1" x14ac:dyDescent="0.25">
      <c r="B892"/>
      <c r="C892"/>
      <c r="D892"/>
      <c r="E892"/>
      <c r="F892"/>
      <c r="G892"/>
      <c r="H892"/>
      <c r="I892"/>
      <c r="J892"/>
    </row>
    <row r="893" spans="2:10" hidden="1" x14ac:dyDescent="0.25">
      <c r="B893"/>
      <c r="C893"/>
      <c r="D893"/>
      <c r="E893"/>
      <c r="F893"/>
      <c r="G893"/>
      <c r="H893"/>
      <c r="I893"/>
      <c r="J893"/>
    </row>
    <row r="894" spans="2:10" hidden="1" x14ac:dyDescent="0.25">
      <c r="B894"/>
      <c r="C894"/>
      <c r="D894"/>
      <c r="E894"/>
      <c r="F894"/>
      <c r="G894"/>
      <c r="H894"/>
      <c r="I894"/>
      <c r="J894"/>
    </row>
    <row r="895" spans="2:10" hidden="1" x14ac:dyDescent="0.25">
      <c r="B895"/>
      <c r="C895"/>
      <c r="D895"/>
      <c r="E895"/>
      <c r="F895"/>
      <c r="G895"/>
      <c r="H895"/>
      <c r="I895"/>
      <c r="J895"/>
    </row>
    <row r="896" spans="2:10" hidden="1" x14ac:dyDescent="0.25">
      <c r="B896"/>
      <c r="C896"/>
      <c r="D896"/>
      <c r="E896"/>
      <c r="F896"/>
      <c r="G896"/>
      <c r="H896"/>
      <c r="I896"/>
      <c r="J896"/>
    </row>
    <row r="897" spans="2:10" hidden="1" x14ac:dyDescent="0.25">
      <c r="B897"/>
      <c r="C897"/>
      <c r="D897"/>
      <c r="E897"/>
      <c r="F897"/>
      <c r="G897"/>
      <c r="H897"/>
      <c r="I897"/>
      <c r="J897"/>
    </row>
    <row r="898" spans="2:10" hidden="1" x14ac:dyDescent="0.25">
      <c r="B898"/>
      <c r="C898"/>
      <c r="D898"/>
      <c r="E898"/>
      <c r="F898"/>
      <c r="G898"/>
      <c r="H898"/>
      <c r="I898"/>
      <c r="J898"/>
    </row>
    <row r="899" spans="2:10" hidden="1" x14ac:dyDescent="0.25">
      <c r="B899"/>
      <c r="C899"/>
      <c r="D899"/>
      <c r="E899"/>
      <c r="F899"/>
      <c r="G899"/>
      <c r="H899"/>
      <c r="I899"/>
      <c r="J899"/>
    </row>
    <row r="900" spans="2:10" hidden="1" x14ac:dyDescent="0.25">
      <c r="B900"/>
      <c r="C900"/>
      <c r="D900"/>
      <c r="E900"/>
      <c r="F900"/>
      <c r="G900"/>
      <c r="H900"/>
      <c r="I900"/>
      <c r="J900"/>
    </row>
    <row r="901" spans="2:10" hidden="1" x14ac:dyDescent="0.25">
      <c r="B901"/>
      <c r="C901"/>
      <c r="D901"/>
      <c r="E901"/>
      <c r="F901"/>
      <c r="G901"/>
      <c r="H901"/>
      <c r="I901"/>
      <c r="J901"/>
    </row>
    <row r="902" spans="2:10" hidden="1" x14ac:dyDescent="0.25">
      <c r="B902"/>
      <c r="C902"/>
      <c r="D902"/>
      <c r="E902"/>
      <c r="F902"/>
      <c r="G902"/>
      <c r="H902"/>
      <c r="I902"/>
      <c r="J902"/>
    </row>
    <row r="903" spans="2:10" hidden="1" x14ac:dyDescent="0.25">
      <c r="B903"/>
      <c r="C903"/>
      <c r="D903"/>
      <c r="E903"/>
      <c r="F903"/>
      <c r="G903"/>
      <c r="H903"/>
      <c r="I903"/>
      <c r="J903"/>
    </row>
    <row r="904" spans="2:10" hidden="1" x14ac:dyDescent="0.25">
      <c r="B904"/>
      <c r="C904"/>
      <c r="D904"/>
      <c r="E904"/>
      <c r="F904"/>
      <c r="G904"/>
      <c r="H904"/>
      <c r="I904"/>
      <c r="J904"/>
    </row>
    <row r="905" spans="2:10" hidden="1" x14ac:dyDescent="0.25">
      <c r="B905"/>
      <c r="C905"/>
      <c r="D905"/>
      <c r="E905"/>
      <c r="F905"/>
      <c r="G905"/>
      <c r="H905"/>
      <c r="I905"/>
      <c r="J905"/>
    </row>
    <row r="906" spans="2:10" hidden="1" x14ac:dyDescent="0.25">
      <c r="B906"/>
      <c r="C906"/>
      <c r="D906"/>
      <c r="E906"/>
      <c r="F906"/>
      <c r="G906"/>
      <c r="H906"/>
      <c r="I906"/>
      <c r="J906"/>
    </row>
    <row r="907" spans="2:10" hidden="1" x14ac:dyDescent="0.25">
      <c r="B907"/>
      <c r="C907"/>
      <c r="D907"/>
      <c r="E907"/>
      <c r="F907"/>
      <c r="G907"/>
      <c r="H907"/>
      <c r="I907"/>
      <c r="J907"/>
    </row>
    <row r="908" spans="2:10" hidden="1" x14ac:dyDescent="0.25">
      <c r="B908"/>
      <c r="C908"/>
      <c r="D908"/>
      <c r="E908"/>
      <c r="F908"/>
      <c r="G908"/>
      <c r="H908"/>
      <c r="I908"/>
      <c r="J908"/>
    </row>
    <row r="909" spans="2:10" hidden="1" x14ac:dyDescent="0.25">
      <c r="B909"/>
      <c r="C909"/>
      <c r="D909"/>
      <c r="E909"/>
      <c r="F909"/>
      <c r="G909"/>
      <c r="H909"/>
      <c r="I909"/>
      <c r="J909"/>
    </row>
    <row r="910" spans="2:10" hidden="1" x14ac:dyDescent="0.25">
      <c r="B910"/>
      <c r="C910"/>
      <c r="D910"/>
      <c r="E910"/>
      <c r="F910"/>
      <c r="G910"/>
      <c r="H910"/>
      <c r="I910"/>
      <c r="J910"/>
    </row>
    <row r="911" spans="2:10" hidden="1" x14ac:dyDescent="0.25">
      <c r="B911"/>
      <c r="C911"/>
      <c r="D911"/>
      <c r="E911"/>
      <c r="F911"/>
      <c r="G911"/>
      <c r="H911"/>
      <c r="I911"/>
      <c r="J911"/>
    </row>
    <row r="912" spans="2:10" hidden="1" x14ac:dyDescent="0.25">
      <c r="B912"/>
      <c r="C912"/>
      <c r="D912"/>
      <c r="E912"/>
      <c r="F912"/>
      <c r="G912"/>
      <c r="H912"/>
      <c r="I912"/>
      <c r="J912"/>
    </row>
    <row r="913" spans="2:10" hidden="1" x14ac:dyDescent="0.25">
      <c r="B913"/>
      <c r="C913"/>
      <c r="D913"/>
      <c r="E913"/>
      <c r="F913"/>
      <c r="G913"/>
      <c r="H913"/>
      <c r="I913"/>
      <c r="J913"/>
    </row>
    <row r="914" spans="2:10" hidden="1" x14ac:dyDescent="0.25">
      <c r="B914"/>
      <c r="C914"/>
      <c r="D914"/>
      <c r="E914"/>
      <c r="F914"/>
      <c r="G914"/>
      <c r="H914"/>
      <c r="I914"/>
      <c r="J914"/>
    </row>
    <row r="915" spans="2:10" hidden="1" x14ac:dyDescent="0.25">
      <c r="B915"/>
      <c r="C915"/>
      <c r="D915"/>
      <c r="E915"/>
      <c r="F915"/>
      <c r="G915"/>
      <c r="H915"/>
      <c r="I915"/>
      <c r="J915"/>
    </row>
    <row r="916" spans="2:10" hidden="1" x14ac:dyDescent="0.25">
      <c r="B916"/>
      <c r="C916"/>
      <c r="D916"/>
      <c r="E916"/>
      <c r="F916"/>
      <c r="G916"/>
      <c r="H916"/>
      <c r="I916"/>
      <c r="J916"/>
    </row>
    <row r="917" spans="2:10" hidden="1" x14ac:dyDescent="0.25">
      <c r="B917"/>
      <c r="C917"/>
      <c r="D917"/>
      <c r="E917"/>
      <c r="F917"/>
      <c r="G917"/>
      <c r="H917"/>
      <c r="I917"/>
      <c r="J917"/>
    </row>
    <row r="918" spans="2:10" hidden="1" x14ac:dyDescent="0.25">
      <c r="B918"/>
      <c r="C918"/>
      <c r="D918"/>
      <c r="E918"/>
      <c r="F918"/>
      <c r="G918"/>
      <c r="H918"/>
      <c r="I918"/>
      <c r="J918"/>
    </row>
    <row r="919" spans="2:10" hidden="1" x14ac:dyDescent="0.25">
      <c r="B919"/>
      <c r="C919"/>
      <c r="D919"/>
      <c r="E919"/>
      <c r="F919"/>
      <c r="G919"/>
      <c r="H919"/>
      <c r="I919"/>
      <c r="J919"/>
    </row>
    <row r="920" spans="2:10" hidden="1" x14ac:dyDescent="0.25">
      <c r="B920"/>
      <c r="C920"/>
      <c r="D920"/>
      <c r="E920"/>
      <c r="F920"/>
      <c r="G920"/>
      <c r="H920"/>
      <c r="I920"/>
      <c r="J920"/>
    </row>
    <row r="921" spans="2:10" hidden="1" x14ac:dyDescent="0.25">
      <c r="B921"/>
      <c r="C921"/>
      <c r="D921"/>
      <c r="E921"/>
      <c r="F921"/>
      <c r="G921"/>
      <c r="H921"/>
      <c r="I921"/>
      <c r="J921"/>
    </row>
    <row r="922" spans="2:10" hidden="1" x14ac:dyDescent="0.25">
      <c r="B922"/>
      <c r="C922"/>
      <c r="D922"/>
      <c r="E922"/>
      <c r="F922"/>
      <c r="G922"/>
      <c r="H922"/>
      <c r="I922"/>
      <c r="J922"/>
    </row>
    <row r="923" spans="2:10" hidden="1" x14ac:dyDescent="0.25">
      <c r="B923"/>
      <c r="C923"/>
      <c r="D923"/>
      <c r="E923"/>
      <c r="F923"/>
      <c r="G923"/>
      <c r="H923"/>
      <c r="I923"/>
      <c r="J923"/>
    </row>
    <row r="924" spans="2:10" hidden="1" x14ac:dyDescent="0.25">
      <c r="B924"/>
      <c r="C924"/>
      <c r="D924"/>
      <c r="E924"/>
      <c r="F924"/>
      <c r="G924"/>
      <c r="H924"/>
      <c r="I924"/>
      <c r="J924"/>
    </row>
    <row r="925" spans="2:10" hidden="1" x14ac:dyDescent="0.25">
      <c r="B925"/>
      <c r="C925"/>
      <c r="D925"/>
      <c r="E925"/>
      <c r="F925"/>
      <c r="G925"/>
      <c r="H925"/>
      <c r="I925"/>
      <c r="J925"/>
    </row>
    <row r="926" spans="2:10" hidden="1" x14ac:dyDescent="0.25">
      <c r="B926"/>
      <c r="C926"/>
      <c r="D926"/>
      <c r="E926"/>
      <c r="F926"/>
      <c r="G926"/>
      <c r="H926"/>
      <c r="I926"/>
      <c r="J926"/>
    </row>
    <row r="927" spans="2:10" hidden="1" x14ac:dyDescent="0.25">
      <c r="B927"/>
      <c r="C927"/>
      <c r="D927"/>
      <c r="E927"/>
      <c r="F927"/>
      <c r="G927"/>
      <c r="H927"/>
      <c r="I927"/>
      <c r="J927"/>
    </row>
    <row r="928" spans="2:10" hidden="1" x14ac:dyDescent="0.25">
      <c r="B928"/>
      <c r="C928"/>
      <c r="D928"/>
      <c r="E928"/>
      <c r="F928"/>
      <c r="G928"/>
      <c r="H928"/>
      <c r="I928"/>
      <c r="J928"/>
    </row>
    <row r="929" spans="2:10" hidden="1" x14ac:dyDescent="0.25">
      <c r="B929"/>
      <c r="C929"/>
      <c r="D929"/>
      <c r="E929"/>
      <c r="F929"/>
      <c r="G929"/>
      <c r="H929"/>
      <c r="I929"/>
      <c r="J929"/>
    </row>
    <row r="930" spans="2:10" hidden="1" x14ac:dyDescent="0.25">
      <c r="B930"/>
      <c r="C930"/>
      <c r="D930"/>
      <c r="E930"/>
      <c r="F930"/>
      <c r="G930"/>
      <c r="H930"/>
      <c r="I930"/>
      <c r="J930"/>
    </row>
    <row r="931" spans="2:10" hidden="1" x14ac:dyDescent="0.25">
      <c r="B931"/>
      <c r="C931"/>
      <c r="D931"/>
      <c r="E931"/>
      <c r="F931"/>
      <c r="G931"/>
      <c r="H931"/>
      <c r="I931"/>
      <c r="J931"/>
    </row>
    <row r="932" spans="2:10" hidden="1" x14ac:dyDescent="0.25">
      <c r="B932"/>
      <c r="C932"/>
      <c r="D932"/>
      <c r="E932"/>
      <c r="F932"/>
      <c r="G932"/>
      <c r="H932"/>
      <c r="I932"/>
      <c r="J932"/>
    </row>
    <row r="933" spans="2:10" hidden="1" x14ac:dyDescent="0.25">
      <c r="B933"/>
      <c r="C933"/>
      <c r="D933"/>
      <c r="E933"/>
      <c r="F933"/>
      <c r="G933"/>
      <c r="H933"/>
      <c r="I933"/>
      <c r="J933"/>
    </row>
    <row r="934" spans="2:10" hidden="1" x14ac:dyDescent="0.25">
      <c r="B934"/>
      <c r="C934"/>
      <c r="D934"/>
      <c r="E934"/>
      <c r="F934"/>
      <c r="G934"/>
      <c r="H934"/>
      <c r="I934"/>
      <c r="J934"/>
    </row>
    <row r="935" spans="2:10" hidden="1" x14ac:dyDescent="0.25">
      <c r="B935"/>
      <c r="C935"/>
      <c r="D935"/>
      <c r="E935"/>
      <c r="F935"/>
      <c r="G935"/>
      <c r="H935"/>
      <c r="I935"/>
      <c r="J935"/>
    </row>
    <row r="936" spans="2:10" hidden="1" x14ac:dyDescent="0.25">
      <c r="B936"/>
      <c r="C936"/>
      <c r="D936"/>
      <c r="E936"/>
      <c r="F936"/>
      <c r="G936"/>
      <c r="H936"/>
      <c r="I936"/>
      <c r="J936"/>
    </row>
    <row r="937" spans="2:10" hidden="1" x14ac:dyDescent="0.25">
      <c r="B937"/>
      <c r="C937"/>
      <c r="D937"/>
      <c r="E937"/>
      <c r="F937"/>
      <c r="G937"/>
      <c r="H937"/>
      <c r="I937"/>
      <c r="J937"/>
    </row>
    <row r="938" spans="2:10" hidden="1" x14ac:dyDescent="0.25">
      <c r="B938"/>
      <c r="C938"/>
      <c r="D938"/>
      <c r="E938"/>
      <c r="F938"/>
      <c r="G938"/>
      <c r="H938"/>
      <c r="I938"/>
      <c r="J938"/>
    </row>
    <row r="939" spans="2:10" hidden="1" x14ac:dyDescent="0.25">
      <c r="B939"/>
      <c r="C939"/>
      <c r="D939"/>
      <c r="E939"/>
      <c r="F939"/>
      <c r="G939"/>
      <c r="H939"/>
      <c r="I939"/>
      <c r="J939"/>
    </row>
    <row r="940" spans="2:10" hidden="1" x14ac:dyDescent="0.25">
      <c r="B940"/>
      <c r="C940"/>
      <c r="D940"/>
      <c r="E940"/>
      <c r="F940"/>
      <c r="G940"/>
      <c r="H940"/>
      <c r="I940"/>
      <c r="J940"/>
    </row>
    <row r="941" spans="2:10" hidden="1" x14ac:dyDescent="0.25">
      <c r="B941"/>
      <c r="C941"/>
      <c r="D941"/>
      <c r="E941"/>
      <c r="F941"/>
      <c r="G941"/>
      <c r="H941"/>
      <c r="I941"/>
      <c r="J941"/>
    </row>
    <row r="942" spans="2:10" hidden="1" x14ac:dyDescent="0.25">
      <c r="B942"/>
      <c r="C942"/>
      <c r="D942"/>
      <c r="E942"/>
      <c r="F942"/>
      <c r="G942"/>
      <c r="H942"/>
      <c r="I942"/>
      <c r="J942"/>
    </row>
    <row r="943" spans="2:10" hidden="1" x14ac:dyDescent="0.25">
      <c r="B943"/>
      <c r="C943"/>
      <c r="D943"/>
      <c r="E943"/>
      <c r="F943"/>
      <c r="G943"/>
      <c r="H943"/>
      <c r="I943"/>
      <c r="J943"/>
    </row>
    <row r="944" spans="2:10" hidden="1" x14ac:dyDescent="0.25">
      <c r="B944"/>
      <c r="C944"/>
      <c r="D944"/>
      <c r="E944"/>
      <c r="F944"/>
      <c r="G944"/>
      <c r="H944"/>
      <c r="I944"/>
      <c r="J944"/>
    </row>
    <row r="945" spans="2:10" hidden="1" x14ac:dyDescent="0.25">
      <c r="B945"/>
      <c r="C945"/>
      <c r="D945"/>
      <c r="E945"/>
      <c r="F945"/>
      <c r="G945"/>
      <c r="H945"/>
      <c r="I945"/>
      <c r="J945"/>
    </row>
    <row r="946" spans="2:10" hidden="1" x14ac:dyDescent="0.25">
      <c r="B946"/>
      <c r="C946"/>
      <c r="D946"/>
      <c r="E946"/>
      <c r="F946"/>
      <c r="G946"/>
      <c r="H946"/>
      <c r="I946"/>
      <c r="J946"/>
    </row>
    <row r="947" spans="2:10" hidden="1" x14ac:dyDescent="0.25">
      <c r="B947"/>
      <c r="C947"/>
      <c r="D947"/>
      <c r="E947"/>
      <c r="F947"/>
      <c r="G947"/>
      <c r="H947"/>
      <c r="I947"/>
      <c r="J947"/>
    </row>
    <row r="948" spans="2:10" hidden="1" x14ac:dyDescent="0.25">
      <c r="B948"/>
      <c r="C948"/>
      <c r="D948"/>
      <c r="E948"/>
      <c r="F948"/>
      <c r="G948"/>
      <c r="H948"/>
      <c r="I948"/>
      <c r="J948"/>
    </row>
    <row r="949" spans="2:10" hidden="1" x14ac:dyDescent="0.25">
      <c r="B949"/>
      <c r="C949"/>
      <c r="D949"/>
      <c r="E949"/>
      <c r="F949"/>
      <c r="G949"/>
      <c r="H949"/>
      <c r="I949"/>
      <c r="J949"/>
    </row>
    <row r="950" spans="2:10" hidden="1" x14ac:dyDescent="0.25">
      <c r="B950"/>
      <c r="C950"/>
      <c r="D950"/>
      <c r="E950"/>
      <c r="F950"/>
      <c r="G950"/>
      <c r="H950"/>
      <c r="I950"/>
      <c r="J950"/>
    </row>
    <row r="951" spans="2:10" hidden="1" x14ac:dyDescent="0.25">
      <c r="B951"/>
      <c r="C951"/>
      <c r="D951"/>
      <c r="E951"/>
      <c r="F951"/>
      <c r="G951"/>
      <c r="H951"/>
      <c r="I951"/>
      <c r="J951"/>
    </row>
    <row r="952" spans="2:10" hidden="1" x14ac:dyDescent="0.25">
      <c r="B952"/>
      <c r="C952"/>
      <c r="D952"/>
      <c r="E952"/>
      <c r="F952"/>
      <c r="G952"/>
      <c r="H952"/>
      <c r="I952"/>
      <c r="J952"/>
    </row>
    <row r="953" spans="2:10" hidden="1" x14ac:dyDescent="0.25">
      <c r="B953"/>
      <c r="C953"/>
      <c r="D953"/>
      <c r="E953"/>
      <c r="F953"/>
      <c r="G953"/>
      <c r="H953"/>
      <c r="I953"/>
      <c r="J953"/>
    </row>
    <row r="954" spans="2:10" hidden="1" x14ac:dyDescent="0.25">
      <c r="B954"/>
      <c r="C954"/>
      <c r="D954"/>
      <c r="E954"/>
      <c r="F954"/>
      <c r="G954"/>
      <c r="H954"/>
      <c r="I954"/>
      <c r="J954"/>
    </row>
    <row r="955" spans="2:10" hidden="1" x14ac:dyDescent="0.25">
      <c r="B955"/>
      <c r="C955"/>
      <c r="D955"/>
      <c r="E955"/>
      <c r="F955"/>
      <c r="G955"/>
      <c r="H955"/>
      <c r="I955"/>
      <c r="J955"/>
    </row>
    <row r="956" spans="2:10" hidden="1" x14ac:dyDescent="0.25">
      <c r="B956"/>
      <c r="C956"/>
      <c r="D956"/>
      <c r="E956"/>
      <c r="F956"/>
      <c r="G956"/>
      <c r="H956"/>
      <c r="I956"/>
      <c r="J956"/>
    </row>
    <row r="957" spans="2:10" hidden="1" x14ac:dyDescent="0.25">
      <c r="B957"/>
      <c r="C957"/>
      <c r="D957"/>
      <c r="E957"/>
      <c r="F957"/>
      <c r="G957"/>
      <c r="H957"/>
      <c r="I957"/>
      <c r="J957"/>
    </row>
    <row r="958" spans="2:10" hidden="1" x14ac:dyDescent="0.25">
      <c r="B958"/>
      <c r="C958"/>
      <c r="D958"/>
      <c r="E958"/>
      <c r="F958"/>
      <c r="G958"/>
      <c r="H958"/>
      <c r="I958"/>
      <c r="J958"/>
    </row>
    <row r="959" spans="2:10" hidden="1" x14ac:dyDescent="0.25">
      <c r="B959"/>
      <c r="C959"/>
      <c r="D959"/>
      <c r="E959"/>
      <c r="F959"/>
      <c r="G959"/>
      <c r="H959"/>
      <c r="I959"/>
      <c r="J959"/>
    </row>
    <row r="960" spans="2:10" hidden="1" x14ac:dyDescent="0.25">
      <c r="B960"/>
      <c r="C960"/>
      <c r="D960"/>
      <c r="E960"/>
      <c r="F960"/>
      <c r="G960"/>
      <c r="H960"/>
      <c r="I960"/>
      <c r="J960"/>
    </row>
    <row r="961" spans="2:10" hidden="1" x14ac:dyDescent="0.25">
      <c r="B961"/>
      <c r="C961"/>
      <c r="D961"/>
      <c r="E961"/>
      <c r="F961"/>
      <c r="G961"/>
      <c r="H961"/>
      <c r="I961"/>
      <c r="J961"/>
    </row>
    <row r="962" spans="2:10" hidden="1" x14ac:dyDescent="0.25">
      <c r="B962"/>
      <c r="C962"/>
      <c r="D962"/>
      <c r="E962"/>
      <c r="F962"/>
      <c r="G962"/>
      <c r="H962"/>
      <c r="I962"/>
      <c r="J962"/>
    </row>
    <row r="963" spans="2:10" hidden="1" x14ac:dyDescent="0.25">
      <c r="B963"/>
      <c r="C963"/>
      <c r="D963"/>
      <c r="E963"/>
      <c r="F963"/>
      <c r="G963"/>
      <c r="H963"/>
      <c r="I963"/>
      <c r="J963"/>
    </row>
    <row r="964" spans="2:10" hidden="1" x14ac:dyDescent="0.25">
      <c r="B964"/>
      <c r="C964"/>
      <c r="D964"/>
      <c r="E964"/>
      <c r="F964"/>
      <c r="G964"/>
      <c r="H964"/>
      <c r="I964"/>
      <c r="J964"/>
    </row>
    <row r="965" spans="2:10" hidden="1" x14ac:dyDescent="0.25">
      <c r="B965"/>
      <c r="C965"/>
      <c r="D965"/>
      <c r="E965"/>
      <c r="F965"/>
      <c r="G965"/>
      <c r="H965"/>
      <c r="I965"/>
      <c r="J965"/>
    </row>
    <row r="966" spans="2:10" hidden="1" x14ac:dyDescent="0.25">
      <c r="B966"/>
      <c r="C966"/>
      <c r="D966"/>
      <c r="E966"/>
      <c r="F966"/>
      <c r="G966"/>
      <c r="H966"/>
      <c r="I966"/>
      <c r="J966"/>
    </row>
    <row r="967" spans="2:10" hidden="1" x14ac:dyDescent="0.25">
      <c r="B967"/>
      <c r="C967"/>
      <c r="D967"/>
      <c r="E967"/>
      <c r="F967"/>
      <c r="G967"/>
      <c r="H967"/>
      <c r="I967"/>
      <c r="J967"/>
    </row>
    <row r="968" spans="2:10" hidden="1" x14ac:dyDescent="0.25">
      <c r="B968"/>
      <c r="C968"/>
      <c r="D968"/>
      <c r="E968"/>
      <c r="F968"/>
      <c r="G968"/>
      <c r="H968"/>
      <c r="I968"/>
      <c r="J968"/>
    </row>
    <row r="969" spans="2:10" hidden="1" x14ac:dyDescent="0.25">
      <c r="B969"/>
      <c r="C969"/>
      <c r="D969"/>
      <c r="E969"/>
      <c r="F969"/>
      <c r="G969"/>
      <c r="H969"/>
      <c r="I969"/>
      <c r="J969"/>
    </row>
    <row r="970" spans="2:10" hidden="1" x14ac:dyDescent="0.25">
      <c r="B970"/>
      <c r="C970"/>
      <c r="D970"/>
      <c r="E970"/>
      <c r="F970"/>
      <c r="G970"/>
      <c r="H970"/>
      <c r="I970"/>
      <c r="J970"/>
    </row>
    <row r="971" spans="2:10" hidden="1" x14ac:dyDescent="0.25">
      <c r="B971"/>
      <c r="C971"/>
      <c r="D971"/>
      <c r="E971"/>
      <c r="F971"/>
      <c r="G971"/>
      <c r="H971"/>
      <c r="I971"/>
      <c r="J971"/>
    </row>
    <row r="972" spans="2:10" hidden="1" x14ac:dyDescent="0.25">
      <c r="B972"/>
      <c r="C972"/>
      <c r="D972"/>
      <c r="E972"/>
      <c r="F972"/>
      <c r="G972"/>
      <c r="H972"/>
      <c r="I972"/>
      <c r="J972"/>
    </row>
    <row r="973" spans="2:10" hidden="1" x14ac:dyDescent="0.25">
      <c r="B973"/>
      <c r="C973"/>
      <c r="D973"/>
      <c r="E973"/>
      <c r="F973"/>
      <c r="G973"/>
      <c r="H973"/>
      <c r="I973"/>
      <c r="J973"/>
    </row>
    <row r="974" spans="2:10" hidden="1" x14ac:dyDescent="0.25">
      <c r="B974"/>
      <c r="C974"/>
      <c r="D974"/>
      <c r="E974"/>
      <c r="F974"/>
      <c r="G974"/>
      <c r="H974"/>
      <c r="I974"/>
      <c r="J974"/>
    </row>
    <row r="975" spans="2:10" hidden="1" x14ac:dyDescent="0.25">
      <c r="B975"/>
      <c r="C975"/>
      <c r="D975"/>
      <c r="E975"/>
      <c r="F975"/>
      <c r="G975"/>
      <c r="H975"/>
      <c r="I975"/>
      <c r="J975"/>
    </row>
    <row r="976" spans="2:10" hidden="1" x14ac:dyDescent="0.25">
      <c r="B976"/>
      <c r="C976"/>
      <c r="D976"/>
      <c r="E976"/>
      <c r="F976"/>
      <c r="G976"/>
      <c r="H976"/>
      <c r="I976"/>
      <c r="J976"/>
    </row>
    <row r="977" spans="2:10" hidden="1" x14ac:dyDescent="0.25">
      <c r="B977"/>
      <c r="C977"/>
      <c r="D977"/>
      <c r="E977"/>
      <c r="F977"/>
      <c r="G977"/>
      <c r="H977"/>
      <c r="I977"/>
      <c r="J977"/>
    </row>
    <row r="978" spans="2:10" hidden="1" x14ac:dyDescent="0.25">
      <c r="B978"/>
      <c r="C978"/>
      <c r="D978"/>
      <c r="E978"/>
      <c r="F978"/>
      <c r="G978"/>
      <c r="H978"/>
      <c r="I978"/>
      <c r="J978"/>
    </row>
    <row r="979" spans="2:10" hidden="1" x14ac:dyDescent="0.25">
      <c r="B979"/>
      <c r="C979"/>
      <c r="D979"/>
      <c r="E979"/>
      <c r="F979"/>
      <c r="G979"/>
      <c r="H979"/>
      <c r="I979"/>
      <c r="J979"/>
    </row>
    <row r="980" spans="2:10" hidden="1" x14ac:dyDescent="0.25">
      <c r="B980"/>
      <c r="C980"/>
      <c r="D980"/>
      <c r="E980"/>
      <c r="F980"/>
      <c r="G980"/>
      <c r="H980"/>
      <c r="I980"/>
      <c r="J980"/>
    </row>
    <row r="981" spans="2:10" hidden="1" x14ac:dyDescent="0.25">
      <c r="B981"/>
      <c r="C981"/>
      <c r="D981"/>
      <c r="E981"/>
      <c r="F981"/>
      <c r="G981"/>
      <c r="H981"/>
      <c r="I981"/>
      <c r="J981"/>
    </row>
    <row r="982" spans="2:10" hidden="1" x14ac:dyDescent="0.25">
      <c r="B982"/>
      <c r="C982"/>
      <c r="D982"/>
      <c r="E982"/>
      <c r="F982"/>
      <c r="G982"/>
      <c r="H982"/>
      <c r="I982"/>
      <c r="J982"/>
    </row>
    <row r="983" spans="2:10" hidden="1" x14ac:dyDescent="0.25">
      <c r="B983"/>
      <c r="C983"/>
      <c r="D983"/>
      <c r="E983"/>
      <c r="F983"/>
      <c r="G983"/>
      <c r="H983"/>
      <c r="I983"/>
      <c r="J983"/>
    </row>
    <row r="984" spans="2:10" hidden="1" x14ac:dyDescent="0.25">
      <c r="B984"/>
      <c r="C984"/>
      <c r="D984"/>
      <c r="E984"/>
      <c r="F984"/>
      <c r="G984"/>
      <c r="H984"/>
      <c r="I984"/>
      <c r="J984"/>
    </row>
    <row r="985" spans="2:10" hidden="1" x14ac:dyDescent="0.25">
      <c r="B985"/>
      <c r="C985"/>
      <c r="D985"/>
      <c r="E985"/>
      <c r="F985"/>
      <c r="G985"/>
      <c r="H985"/>
      <c r="I985"/>
      <c r="J985"/>
    </row>
    <row r="986" spans="2:10" hidden="1" x14ac:dyDescent="0.25">
      <c r="B986"/>
      <c r="C986"/>
      <c r="D986"/>
      <c r="E986"/>
      <c r="F986"/>
      <c r="G986"/>
      <c r="H986"/>
      <c r="I986"/>
      <c r="J986"/>
    </row>
    <row r="987" spans="2:10" hidden="1" x14ac:dyDescent="0.25">
      <c r="B987"/>
      <c r="C987"/>
      <c r="D987"/>
      <c r="E987"/>
      <c r="F987"/>
      <c r="G987"/>
      <c r="H987"/>
      <c r="I987"/>
      <c r="J987"/>
    </row>
    <row r="988" spans="2:10" hidden="1" x14ac:dyDescent="0.25">
      <c r="B988"/>
      <c r="C988"/>
      <c r="D988"/>
      <c r="E988"/>
      <c r="F988"/>
      <c r="G988"/>
      <c r="H988"/>
      <c r="I988"/>
      <c r="J988"/>
    </row>
    <row r="989" spans="2:10" hidden="1" x14ac:dyDescent="0.25">
      <c r="B989"/>
      <c r="C989"/>
      <c r="D989"/>
      <c r="E989"/>
      <c r="F989"/>
      <c r="G989"/>
      <c r="H989"/>
      <c r="I989"/>
      <c r="J989"/>
    </row>
    <row r="990" spans="2:10" hidden="1" x14ac:dyDescent="0.25">
      <c r="B990"/>
      <c r="C990"/>
      <c r="D990"/>
      <c r="E990"/>
      <c r="F990"/>
      <c r="G990"/>
      <c r="H990"/>
      <c r="I990"/>
      <c r="J990"/>
    </row>
    <row r="991" spans="2:10" hidden="1" x14ac:dyDescent="0.25">
      <c r="B991"/>
      <c r="C991"/>
      <c r="D991"/>
      <c r="E991"/>
      <c r="F991"/>
      <c r="G991"/>
      <c r="H991"/>
      <c r="I991"/>
      <c r="J991"/>
    </row>
    <row r="992" spans="2:10" hidden="1" x14ac:dyDescent="0.25">
      <c r="B992"/>
      <c r="C992"/>
      <c r="D992"/>
      <c r="E992"/>
      <c r="F992"/>
      <c r="G992"/>
      <c r="H992"/>
      <c r="I992"/>
      <c r="J992"/>
    </row>
    <row r="993" spans="2:10" hidden="1" x14ac:dyDescent="0.25">
      <c r="B993"/>
      <c r="C993"/>
      <c r="D993"/>
      <c r="E993"/>
      <c r="F993"/>
      <c r="G993"/>
      <c r="H993"/>
      <c r="I993"/>
      <c r="J993"/>
    </row>
    <row r="994" spans="2:10" hidden="1" x14ac:dyDescent="0.25">
      <c r="B994"/>
      <c r="C994"/>
      <c r="D994"/>
      <c r="E994"/>
      <c r="F994"/>
      <c r="G994"/>
      <c r="H994"/>
      <c r="I994"/>
      <c r="J994"/>
    </row>
    <row r="995" spans="2:10" hidden="1" x14ac:dyDescent="0.25">
      <c r="B995"/>
      <c r="C995"/>
      <c r="D995"/>
      <c r="E995"/>
      <c r="F995"/>
      <c r="G995"/>
      <c r="H995"/>
      <c r="I995"/>
      <c r="J995"/>
    </row>
    <row r="996" spans="2:10" hidden="1" x14ac:dyDescent="0.25">
      <c r="B996"/>
      <c r="C996"/>
      <c r="D996"/>
      <c r="E996"/>
      <c r="F996"/>
      <c r="G996"/>
      <c r="H996"/>
      <c r="I996"/>
      <c r="J996"/>
    </row>
    <row r="997" spans="2:10" hidden="1" x14ac:dyDescent="0.25">
      <c r="B997"/>
      <c r="C997"/>
      <c r="D997"/>
      <c r="E997"/>
      <c r="F997"/>
      <c r="G997"/>
      <c r="H997"/>
      <c r="I997"/>
      <c r="J997"/>
    </row>
    <row r="998" spans="2:10" hidden="1" x14ac:dyDescent="0.25">
      <c r="B998"/>
      <c r="C998"/>
      <c r="D998"/>
      <c r="E998"/>
      <c r="F998"/>
      <c r="G998"/>
      <c r="H998"/>
      <c r="I998"/>
      <c r="J998"/>
    </row>
    <row r="999" spans="2:10" hidden="1" x14ac:dyDescent="0.25">
      <c r="B999"/>
      <c r="C999"/>
      <c r="D999"/>
      <c r="E999"/>
      <c r="F999"/>
      <c r="G999"/>
      <c r="H999"/>
      <c r="I999"/>
      <c r="J999"/>
    </row>
    <row r="1000" spans="2:10" hidden="1" x14ac:dyDescent="0.25">
      <c r="B1000"/>
      <c r="C1000"/>
      <c r="D1000"/>
      <c r="E1000"/>
      <c r="F1000"/>
      <c r="G1000"/>
      <c r="H1000"/>
      <c r="I1000"/>
      <c r="J1000"/>
    </row>
    <row r="1001" spans="2:10" hidden="1" x14ac:dyDescent="0.25">
      <c r="B1001"/>
      <c r="C1001"/>
      <c r="D1001"/>
      <c r="E1001"/>
      <c r="F1001"/>
      <c r="G1001"/>
      <c r="H1001"/>
      <c r="I1001"/>
      <c r="J1001"/>
    </row>
    <row r="1002" spans="2:10" hidden="1" x14ac:dyDescent="0.25">
      <c r="B1002"/>
      <c r="C1002"/>
      <c r="D1002"/>
      <c r="E1002"/>
      <c r="F1002"/>
      <c r="G1002"/>
      <c r="H1002"/>
      <c r="I1002"/>
      <c r="J1002"/>
    </row>
    <row r="1003" spans="2:10" hidden="1" x14ac:dyDescent="0.25">
      <c r="B1003"/>
      <c r="C1003"/>
      <c r="D1003"/>
      <c r="E1003"/>
      <c r="F1003"/>
      <c r="G1003"/>
      <c r="H1003"/>
      <c r="I1003"/>
      <c r="J1003"/>
    </row>
    <row r="1004" spans="2:10" hidden="1" x14ac:dyDescent="0.25">
      <c r="B1004"/>
      <c r="C1004"/>
      <c r="D1004"/>
      <c r="E1004"/>
      <c r="F1004"/>
      <c r="G1004"/>
      <c r="H1004"/>
      <c r="I1004"/>
      <c r="J1004"/>
    </row>
    <row r="1005" spans="2:10" hidden="1" x14ac:dyDescent="0.25">
      <c r="B1005"/>
      <c r="C1005"/>
      <c r="D1005"/>
      <c r="E1005"/>
      <c r="F1005"/>
      <c r="G1005"/>
      <c r="H1005"/>
      <c r="I1005"/>
      <c r="J1005"/>
    </row>
    <row r="1006" spans="2:10" hidden="1" x14ac:dyDescent="0.25">
      <c r="B1006"/>
      <c r="C1006"/>
      <c r="D1006"/>
      <c r="E1006"/>
      <c r="F1006"/>
      <c r="G1006"/>
      <c r="H1006"/>
      <c r="I1006"/>
      <c r="J1006"/>
    </row>
    <row r="1007" spans="2:10" hidden="1" x14ac:dyDescent="0.25">
      <c r="B1007"/>
      <c r="C1007"/>
      <c r="D1007"/>
      <c r="E1007"/>
      <c r="F1007"/>
      <c r="G1007"/>
      <c r="H1007"/>
      <c r="I1007"/>
      <c r="J1007"/>
    </row>
    <row r="1008" spans="2:10" hidden="1" x14ac:dyDescent="0.25">
      <c r="B1008"/>
      <c r="C1008"/>
      <c r="D1008"/>
      <c r="E1008"/>
      <c r="F1008"/>
      <c r="G1008"/>
      <c r="H1008"/>
      <c r="I1008"/>
      <c r="J1008"/>
    </row>
    <row r="1009" spans="2:10" hidden="1" x14ac:dyDescent="0.25">
      <c r="B1009"/>
      <c r="C1009"/>
      <c r="D1009"/>
      <c r="E1009"/>
      <c r="F1009"/>
      <c r="G1009"/>
      <c r="H1009"/>
      <c r="I1009"/>
      <c r="J1009"/>
    </row>
    <row r="1010" spans="2:10" hidden="1" x14ac:dyDescent="0.25">
      <c r="B1010"/>
      <c r="C1010"/>
      <c r="D1010"/>
      <c r="E1010"/>
      <c r="F1010"/>
      <c r="G1010"/>
      <c r="H1010"/>
      <c r="I1010"/>
      <c r="J1010"/>
    </row>
    <row r="1011" spans="2:10" hidden="1" x14ac:dyDescent="0.25">
      <c r="B1011"/>
      <c r="C1011"/>
      <c r="D1011"/>
      <c r="E1011"/>
      <c r="F1011"/>
      <c r="G1011"/>
      <c r="H1011"/>
      <c r="I1011"/>
      <c r="J1011"/>
    </row>
    <row r="1012" spans="2:10" hidden="1" x14ac:dyDescent="0.25">
      <c r="B1012"/>
      <c r="C1012"/>
      <c r="D1012"/>
      <c r="E1012"/>
      <c r="F1012"/>
      <c r="G1012"/>
      <c r="H1012"/>
      <c r="I1012"/>
      <c r="J1012"/>
    </row>
    <row r="1013" spans="2:10" hidden="1" x14ac:dyDescent="0.25">
      <c r="B1013"/>
      <c r="C1013"/>
      <c r="D1013"/>
      <c r="E1013"/>
      <c r="F1013"/>
      <c r="G1013"/>
      <c r="H1013"/>
      <c r="I1013"/>
      <c r="J1013"/>
    </row>
    <row r="1014" spans="2:10" hidden="1" x14ac:dyDescent="0.25">
      <c r="B1014"/>
      <c r="C1014"/>
      <c r="D1014"/>
      <c r="E1014"/>
      <c r="F1014"/>
      <c r="G1014"/>
      <c r="H1014"/>
      <c r="I1014"/>
      <c r="J1014"/>
    </row>
    <row r="1015" spans="2:10" hidden="1" x14ac:dyDescent="0.25">
      <c r="B1015"/>
      <c r="C1015"/>
      <c r="D1015"/>
      <c r="E1015"/>
      <c r="F1015"/>
      <c r="G1015"/>
      <c r="H1015"/>
      <c r="I1015"/>
      <c r="J1015"/>
    </row>
    <row r="1016" spans="2:10" hidden="1" x14ac:dyDescent="0.25">
      <c r="B1016"/>
      <c r="C1016"/>
      <c r="D1016"/>
      <c r="E1016"/>
      <c r="F1016"/>
      <c r="G1016"/>
      <c r="H1016"/>
      <c r="I1016"/>
      <c r="J1016"/>
    </row>
    <row r="1017" spans="2:10" hidden="1" x14ac:dyDescent="0.25">
      <c r="B1017"/>
      <c r="C1017"/>
      <c r="D1017"/>
      <c r="E1017"/>
      <c r="F1017"/>
      <c r="G1017"/>
      <c r="H1017"/>
      <c r="I1017"/>
      <c r="J1017"/>
    </row>
    <row r="1018" spans="2:10" hidden="1" x14ac:dyDescent="0.25">
      <c r="B1018"/>
      <c r="C1018"/>
      <c r="D1018"/>
      <c r="E1018"/>
      <c r="F1018"/>
      <c r="G1018"/>
      <c r="H1018"/>
      <c r="I1018"/>
      <c r="J1018"/>
    </row>
    <row r="1019" spans="2:10" hidden="1" x14ac:dyDescent="0.25">
      <c r="B1019"/>
      <c r="C1019"/>
      <c r="D1019"/>
      <c r="E1019"/>
      <c r="F1019"/>
      <c r="G1019"/>
      <c r="H1019"/>
      <c r="I1019"/>
      <c r="J1019"/>
    </row>
    <row r="1020" spans="2:10" hidden="1" x14ac:dyDescent="0.25">
      <c r="B1020"/>
      <c r="C1020"/>
      <c r="D1020"/>
      <c r="E1020"/>
      <c r="F1020"/>
      <c r="G1020"/>
      <c r="H1020"/>
      <c r="I1020"/>
      <c r="J1020"/>
    </row>
    <row r="1021" spans="2:10" hidden="1" x14ac:dyDescent="0.25">
      <c r="B1021"/>
      <c r="C1021"/>
      <c r="D1021"/>
      <c r="E1021"/>
      <c r="F1021"/>
      <c r="G1021"/>
      <c r="H1021"/>
      <c r="I1021"/>
      <c r="J1021"/>
    </row>
    <row r="1022" spans="2:10" hidden="1" x14ac:dyDescent="0.25">
      <c r="B1022"/>
      <c r="C1022"/>
      <c r="D1022"/>
      <c r="E1022"/>
      <c r="F1022"/>
      <c r="G1022"/>
      <c r="H1022"/>
      <c r="I1022"/>
      <c r="J1022"/>
    </row>
    <row r="1023" spans="2:10" hidden="1" x14ac:dyDescent="0.25">
      <c r="B1023"/>
      <c r="C1023"/>
      <c r="D1023"/>
      <c r="E1023"/>
      <c r="F1023"/>
      <c r="G1023"/>
      <c r="H1023"/>
      <c r="I1023"/>
      <c r="J1023"/>
    </row>
    <row r="1024" spans="2:10" hidden="1" x14ac:dyDescent="0.25">
      <c r="B1024"/>
      <c r="C1024"/>
      <c r="D1024"/>
      <c r="E1024"/>
      <c r="F1024"/>
      <c r="G1024"/>
      <c r="H1024"/>
      <c r="I1024"/>
      <c r="J1024"/>
    </row>
    <row r="1025" spans="2:10" hidden="1" x14ac:dyDescent="0.25">
      <c r="B1025"/>
      <c r="C1025"/>
      <c r="D1025"/>
      <c r="E1025"/>
      <c r="F1025"/>
      <c r="G1025"/>
      <c r="H1025"/>
      <c r="I1025"/>
      <c r="J1025"/>
    </row>
    <row r="1026" spans="2:10" hidden="1" x14ac:dyDescent="0.25">
      <c r="B1026"/>
      <c r="C1026"/>
      <c r="D1026"/>
      <c r="E1026"/>
      <c r="F1026"/>
      <c r="G1026"/>
      <c r="H1026"/>
      <c r="I1026"/>
      <c r="J1026"/>
    </row>
    <row r="1027" spans="2:10" hidden="1" x14ac:dyDescent="0.25">
      <c r="B1027"/>
      <c r="C1027"/>
      <c r="D1027"/>
      <c r="E1027"/>
      <c r="F1027"/>
      <c r="G1027"/>
      <c r="H1027"/>
      <c r="I1027"/>
      <c r="J1027"/>
    </row>
    <row r="1028" spans="2:10" hidden="1" x14ac:dyDescent="0.25">
      <c r="B1028"/>
      <c r="C1028"/>
      <c r="D1028"/>
      <c r="E1028"/>
      <c r="F1028"/>
      <c r="G1028"/>
      <c r="H1028"/>
      <c r="I1028"/>
      <c r="J1028"/>
    </row>
    <row r="1029" spans="2:10" hidden="1" x14ac:dyDescent="0.25">
      <c r="B1029"/>
      <c r="C1029"/>
      <c r="D1029"/>
      <c r="E1029"/>
      <c r="F1029"/>
      <c r="G1029"/>
      <c r="H1029"/>
      <c r="I1029"/>
      <c r="J1029"/>
    </row>
    <row r="1030" spans="2:10" hidden="1" x14ac:dyDescent="0.25">
      <c r="B1030"/>
      <c r="C1030"/>
      <c r="D1030"/>
      <c r="E1030"/>
      <c r="F1030"/>
      <c r="G1030"/>
      <c r="H1030"/>
      <c r="I1030"/>
      <c r="J1030"/>
    </row>
    <row r="1031" spans="2:10" hidden="1" x14ac:dyDescent="0.25">
      <c r="B1031"/>
      <c r="C1031"/>
      <c r="D1031"/>
      <c r="E1031"/>
      <c r="F1031"/>
      <c r="G1031"/>
      <c r="H1031"/>
      <c r="I1031"/>
      <c r="J1031"/>
    </row>
    <row r="1032" spans="2:10" hidden="1" x14ac:dyDescent="0.25">
      <c r="B1032"/>
      <c r="C1032"/>
      <c r="D1032"/>
      <c r="E1032"/>
      <c r="F1032"/>
      <c r="G1032"/>
      <c r="H1032"/>
      <c r="I1032"/>
      <c r="J1032"/>
    </row>
    <row r="1033" spans="2:10" hidden="1" x14ac:dyDescent="0.25">
      <c r="B1033"/>
      <c r="C1033"/>
      <c r="D1033"/>
      <c r="E1033"/>
      <c r="F1033"/>
      <c r="G1033"/>
      <c r="H1033"/>
      <c r="I1033"/>
      <c r="J1033"/>
    </row>
    <row r="1034" spans="2:10" hidden="1" x14ac:dyDescent="0.25">
      <c r="B1034"/>
      <c r="C1034"/>
      <c r="D1034"/>
      <c r="E1034"/>
      <c r="F1034"/>
      <c r="G1034"/>
      <c r="H1034"/>
      <c r="I1034"/>
      <c r="J1034"/>
    </row>
    <row r="1035" spans="2:10" hidden="1" x14ac:dyDescent="0.25">
      <c r="B1035"/>
      <c r="C1035"/>
      <c r="D1035"/>
      <c r="E1035"/>
      <c r="F1035"/>
      <c r="G1035"/>
      <c r="H1035"/>
      <c r="I1035"/>
      <c r="J1035"/>
    </row>
    <row r="1036" spans="2:10" hidden="1" x14ac:dyDescent="0.25">
      <c r="B1036"/>
      <c r="C1036"/>
      <c r="D1036"/>
      <c r="E1036"/>
      <c r="F1036"/>
      <c r="G1036"/>
      <c r="H1036"/>
      <c r="I1036"/>
      <c r="J1036"/>
    </row>
    <row r="1037" spans="2:10" hidden="1" x14ac:dyDescent="0.25">
      <c r="B1037"/>
      <c r="C1037"/>
      <c r="D1037"/>
      <c r="E1037"/>
      <c r="F1037"/>
      <c r="G1037"/>
      <c r="H1037"/>
      <c r="I1037"/>
      <c r="J1037"/>
    </row>
    <row r="1038" spans="2:10" hidden="1" x14ac:dyDescent="0.25">
      <c r="B1038"/>
      <c r="C1038"/>
      <c r="D1038"/>
      <c r="E1038"/>
      <c r="F1038"/>
      <c r="G1038"/>
      <c r="H1038"/>
      <c r="I1038"/>
      <c r="J1038"/>
    </row>
    <row r="1039" spans="2:10" hidden="1" x14ac:dyDescent="0.25">
      <c r="B1039"/>
      <c r="C1039"/>
      <c r="D1039"/>
      <c r="E1039"/>
      <c r="F1039"/>
      <c r="G1039"/>
      <c r="H1039"/>
      <c r="I1039"/>
      <c r="J1039"/>
    </row>
    <row r="1040" spans="2:10" hidden="1" x14ac:dyDescent="0.25">
      <c r="B1040"/>
      <c r="C1040"/>
      <c r="D1040"/>
      <c r="E1040"/>
      <c r="F1040"/>
      <c r="G1040"/>
      <c r="H1040"/>
      <c r="I1040"/>
      <c r="J1040"/>
    </row>
    <row r="1041" spans="2:10" hidden="1" x14ac:dyDescent="0.25">
      <c r="B1041"/>
      <c r="C1041"/>
      <c r="D1041"/>
      <c r="E1041"/>
      <c r="F1041"/>
      <c r="G1041"/>
      <c r="H1041"/>
      <c r="I1041"/>
      <c r="J1041"/>
    </row>
    <row r="1042" spans="2:10" hidden="1" x14ac:dyDescent="0.25">
      <c r="B1042"/>
      <c r="C1042"/>
      <c r="D1042"/>
      <c r="E1042"/>
      <c r="F1042"/>
      <c r="G1042"/>
      <c r="H1042"/>
      <c r="I1042"/>
      <c r="J1042"/>
    </row>
    <row r="1043" spans="2:10" hidden="1" x14ac:dyDescent="0.25">
      <c r="B1043"/>
      <c r="C1043"/>
      <c r="D1043"/>
      <c r="E1043"/>
      <c r="F1043"/>
      <c r="G1043"/>
      <c r="H1043"/>
      <c r="I1043"/>
      <c r="J1043"/>
    </row>
    <row r="1044" spans="2:10" hidden="1" x14ac:dyDescent="0.25">
      <c r="B1044"/>
      <c r="C1044"/>
      <c r="D1044"/>
      <c r="E1044"/>
      <c r="F1044"/>
      <c r="G1044"/>
      <c r="H1044"/>
      <c r="I1044"/>
      <c r="J1044"/>
    </row>
    <row r="1045" spans="2:10" hidden="1" x14ac:dyDescent="0.25">
      <c r="B1045"/>
      <c r="C1045"/>
      <c r="D1045"/>
      <c r="E1045"/>
      <c r="F1045"/>
      <c r="G1045"/>
      <c r="H1045"/>
      <c r="I1045"/>
      <c r="J1045"/>
    </row>
    <row r="1046" spans="2:10" hidden="1" x14ac:dyDescent="0.25">
      <c r="B1046"/>
      <c r="C1046"/>
      <c r="D1046"/>
      <c r="E1046"/>
      <c r="F1046"/>
      <c r="G1046"/>
      <c r="H1046"/>
      <c r="I1046"/>
      <c r="J1046"/>
    </row>
    <row r="1047" spans="2:10" hidden="1" x14ac:dyDescent="0.25">
      <c r="B1047"/>
      <c r="C1047"/>
      <c r="D1047"/>
      <c r="E1047"/>
      <c r="F1047"/>
      <c r="G1047"/>
      <c r="H1047"/>
      <c r="I1047"/>
      <c r="J1047"/>
    </row>
    <row r="1048" spans="2:10" hidden="1" x14ac:dyDescent="0.25">
      <c r="B1048"/>
      <c r="C1048"/>
      <c r="D1048"/>
      <c r="E1048"/>
      <c r="F1048"/>
      <c r="G1048"/>
      <c r="H1048"/>
      <c r="I1048"/>
      <c r="J1048"/>
    </row>
    <row r="1049" spans="2:10" hidden="1" x14ac:dyDescent="0.25">
      <c r="B1049"/>
      <c r="C1049"/>
      <c r="D1049"/>
      <c r="E1049"/>
      <c r="F1049"/>
      <c r="G1049"/>
      <c r="H1049"/>
      <c r="I1049"/>
      <c r="J1049"/>
    </row>
    <row r="1050" spans="2:10" hidden="1" x14ac:dyDescent="0.25">
      <c r="B1050"/>
      <c r="C1050"/>
      <c r="D1050"/>
      <c r="E1050"/>
      <c r="F1050"/>
      <c r="G1050"/>
      <c r="H1050"/>
      <c r="I1050"/>
      <c r="J1050"/>
    </row>
    <row r="1051" spans="2:10" hidden="1" x14ac:dyDescent="0.25">
      <c r="B1051"/>
      <c r="C1051"/>
      <c r="D1051"/>
      <c r="E1051"/>
      <c r="F1051"/>
      <c r="G1051"/>
      <c r="H1051"/>
      <c r="I1051"/>
      <c r="J1051"/>
    </row>
    <row r="1052" spans="2:10" hidden="1" x14ac:dyDescent="0.25">
      <c r="B1052"/>
      <c r="C1052"/>
      <c r="D1052"/>
      <c r="E1052"/>
      <c r="F1052"/>
      <c r="G1052"/>
      <c r="H1052"/>
      <c r="I1052"/>
      <c r="J1052"/>
    </row>
    <row r="1053" spans="2:10" hidden="1" x14ac:dyDescent="0.25">
      <c r="B1053"/>
      <c r="C1053"/>
      <c r="D1053"/>
      <c r="E1053"/>
      <c r="F1053"/>
      <c r="G1053"/>
      <c r="H1053"/>
      <c r="I1053"/>
      <c r="J1053"/>
    </row>
    <row r="1054" spans="2:10" hidden="1" x14ac:dyDescent="0.25">
      <c r="B1054"/>
      <c r="C1054"/>
      <c r="D1054"/>
      <c r="E1054"/>
      <c r="F1054"/>
      <c r="G1054"/>
      <c r="H1054"/>
      <c r="I1054"/>
      <c r="J1054"/>
    </row>
    <row r="1055" spans="2:10" hidden="1" x14ac:dyDescent="0.25">
      <c r="B1055"/>
      <c r="C1055"/>
      <c r="D1055"/>
      <c r="E1055"/>
      <c r="F1055"/>
      <c r="G1055"/>
      <c r="H1055"/>
      <c r="I1055"/>
      <c r="J1055"/>
    </row>
    <row r="1056" spans="2:10" hidden="1" x14ac:dyDescent="0.25">
      <c r="B1056"/>
      <c r="C1056"/>
      <c r="D1056"/>
      <c r="E1056"/>
      <c r="F1056"/>
      <c r="G1056"/>
      <c r="H1056"/>
      <c r="I1056"/>
      <c r="J1056"/>
    </row>
    <row r="1057" spans="2:10" hidden="1" x14ac:dyDescent="0.25">
      <c r="B1057"/>
      <c r="C1057"/>
      <c r="D1057"/>
      <c r="E1057"/>
      <c r="F1057"/>
      <c r="G1057"/>
      <c r="H1057"/>
      <c r="I1057"/>
      <c r="J1057"/>
    </row>
    <row r="1058" spans="2:10" hidden="1" x14ac:dyDescent="0.25">
      <c r="B1058"/>
      <c r="C1058"/>
      <c r="D1058"/>
      <c r="E1058"/>
      <c r="F1058"/>
      <c r="G1058"/>
      <c r="H1058"/>
      <c r="I1058"/>
      <c r="J1058"/>
    </row>
    <row r="1059" spans="2:10" hidden="1" x14ac:dyDescent="0.25">
      <c r="B1059"/>
      <c r="C1059"/>
      <c r="D1059"/>
      <c r="E1059"/>
      <c r="F1059"/>
      <c r="G1059"/>
      <c r="H1059"/>
      <c r="I1059"/>
      <c r="J1059"/>
    </row>
    <row r="1060" spans="2:10" hidden="1" x14ac:dyDescent="0.25">
      <c r="B1060"/>
      <c r="C1060"/>
      <c r="D1060"/>
      <c r="E1060"/>
      <c r="F1060"/>
      <c r="G1060"/>
      <c r="H1060"/>
      <c r="I1060"/>
      <c r="J1060"/>
    </row>
    <row r="1061" spans="2:10" hidden="1" x14ac:dyDescent="0.25">
      <c r="B1061"/>
      <c r="C1061"/>
      <c r="D1061"/>
      <c r="E1061"/>
      <c r="F1061"/>
      <c r="G1061"/>
      <c r="H1061"/>
      <c r="I1061"/>
      <c r="J1061"/>
    </row>
    <row r="1062" spans="2:10" hidden="1" x14ac:dyDescent="0.25">
      <c r="B1062"/>
      <c r="C1062"/>
      <c r="D1062"/>
      <c r="E1062"/>
      <c r="F1062"/>
      <c r="G1062"/>
      <c r="H1062"/>
      <c r="I1062"/>
      <c r="J1062"/>
    </row>
    <row r="1063" spans="2:10" hidden="1" x14ac:dyDescent="0.25">
      <c r="B1063"/>
      <c r="C1063"/>
      <c r="D1063"/>
      <c r="E1063"/>
      <c r="F1063"/>
      <c r="G1063"/>
      <c r="H1063"/>
      <c r="I1063"/>
      <c r="J1063"/>
    </row>
    <row r="1064" spans="2:10" hidden="1" x14ac:dyDescent="0.25">
      <c r="B1064"/>
      <c r="C1064"/>
      <c r="D1064"/>
      <c r="E1064"/>
      <c r="F1064"/>
      <c r="G1064"/>
      <c r="H1064"/>
      <c r="I1064"/>
      <c r="J1064"/>
    </row>
    <row r="1065" spans="2:10" hidden="1" x14ac:dyDescent="0.25">
      <c r="B1065"/>
      <c r="C1065"/>
      <c r="D1065"/>
      <c r="E1065"/>
      <c r="F1065"/>
      <c r="G1065"/>
      <c r="H1065"/>
      <c r="I1065"/>
      <c r="J1065"/>
    </row>
    <row r="1066" spans="2:10" hidden="1" x14ac:dyDescent="0.25">
      <c r="B1066"/>
      <c r="C1066"/>
      <c r="D1066"/>
      <c r="E1066"/>
      <c r="F1066"/>
      <c r="G1066"/>
      <c r="H1066"/>
      <c r="I1066"/>
      <c r="J1066"/>
    </row>
    <row r="1067" spans="2:10" hidden="1" x14ac:dyDescent="0.25">
      <c r="B1067"/>
      <c r="C1067"/>
      <c r="D1067"/>
      <c r="E1067"/>
      <c r="F1067"/>
      <c r="G1067"/>
      <c r="H1067"/>
      <c r="I1067"/>
      <c r="J1067"/>
    </row>
    <row r="1068" spans="2:10" hidden="1" x14ac:dyDescent="0.25">
      <c r="B1068"/>
      <c r="C1068"/>
      <c r="D1068"/>
      <c r="E1068"/>
      <c r="F1068"/>
      <c r="G1068"/>
      <c r="H1068"/>
      <c r="I1068"/>
      <c r="J1068"/>
    </row>
    <row r="1069" spans="2:10" hidden="1" x14ac:dyDescent="0.25">
      <c r="B1069"/>
      <c r="C1069"/>
      <c r="D1069"/>
      <c r="E1069"/>
      <c r="F1069"/>
      <c r="G1069"/>
      <c r="H1069"/>
      <c r="I1069"/>
      <c r="J1069"/>
    </row>
    <row r="1070" spans="2:10" hidden="1" x14ac:dyDescent="0.25">
      <c r="B1070"/>
      <c r="C1070"/>
      <c r="D1070"/>
      <c r="E1070"/>
      <c r="F1070"/>
      <c r="G1070"/>
      <c r="H1070"/>
      <c r="I1070"/>
      <c r="J1070"/>
    </row>
    <row r="1071" spans="2:10" hidden="1" x14ac:dyDescent="0.25">
      <c r="B1071"/>
      <c r="C1071"/>
      <c r="D1071"/>
      <c r="E1071"/>
      <c r="F1071"/>
      <c r="G1071"/>
      <c r="H1071"/>
      <c r="I1071"/>
      <c r="J1071"/>
    </row>
    <row r="1072" spans="2:10" hidden="1" x14ac:dyDescent="0.25">
      <c r="B1072"/>
      <c r="C1072"/>
      <c r="D1072"/>
      <c r="E1072"/>
      <c r="F1072"/>
      <c r="G1072"/>
      <c r="H1072"/>
      <c r="I1072"/>
      <c r="J1072"/>
    </row>
    <row r="1073" spans="2:10" hidden="1" x14ac:dyDescent="0.25">
      <c r="B1073"/>
      <c r="C1073"/>
      <c r="D1073"/>
      <c r="E1073"/>
      <c r="F1073"/>
      <c r="G1073"/>
      <c r="H1073"/>
      <c r="I1073"/>
      <c r="J1073"/>
    </row>
    <row r="1074" spans="2:10" hidden="1" x14ac:dyDescent="0.25">
      <c r="B1074"/>
      <c r="C1074"/>
      <c r="D1074"/>
      <c r="E1074"/>
      <c r="F1074"/>
      <c r="G1074"/>
      <c r="H1074"/>
      <c r="I1074"/>
      <c r="J1074"/>
    </row>
    <row r="1075" spans="2:10" hidden="1" x14ac:dyDescent="0.25">
      <c r="B1075"/>
      <c r="C1075"/>
      <c r="D1075"/>
      <c r="E1075"/>
      <c r="F1075"/>
      <c r="G1075"/>
      <c r="H1075"/>
      <c r="I1075"/>
      <c r="J1075"/>
    </row>
    <row r="1076" spans="2:10" hidden="1" x14ac:dyDescent="0.25">
      <c r="B1076"/>
      <c r="C1076"/>
      <c r="D1076"/>
      <c r="E1076"/>
      <c r="F1076"/>
      <c r="G1076"/>
      <c r="H1076"/>
      <c r="I1076"/>
      <c r="J1076"/>
    </row>
    <row r="1077" spans="2:10" hidden="1" x14ac:dyDescent="0.25">
      <c r="B1077"/>
      <c r="C1077"/>
      <c r="D1077"/>
      <c r="E1077"/>
      <c r="F1077"/>
      <c r="G1077"/>
      <c r="H1077"/>
      <c r="I1077"/>
      <c r="J1077"/>
    </row>
    <row r="1078" spans="2:10" hidden="1" x14ac:dyDescent="0.25">
      <c r="B1078"/>
      <c r="C1078"/>
      <c r="D1078"/>
      <c r="E1078"/>
      <c r="F1078"/>
      <c r="G1078"/>
      <c r="H1078"/>
      <c r="I1078"/>
      <c r="J1078"/>
    </row>
    <row r="1079" spans="2:10" hidden="1" x14ac:dyDescent="0.25">
      <c r="B1079"/>
      <c r="C1079"/>
      <c r="D1079"/>
      <c r="E1079"/>
      <c r="F1079"/>
      <c r="G1079"/>
      <c r="H1079"/>
      <c r="I1079"/>
      <c r="J1079"/>
    </row>
    <row r="1080" spans="2:10" hidden="1" x14ac:dyDescent="0.25">
      <c r="B1080"/>
      <c r="C1080"/>
      <c r="D1080"/>
      <c r="E1080"/>
      <c r="F1080"/>
      <c r="G1080"/>
      <c r="H1080"/>
      <c r="I1080"/>
      <c r="J1080"/>
    </row>
    <row r="1081" spans="2:10" hidden="1" x14ac:dyDescent="0.25">
      <c r="B1081"/>
      <c r="C1081"/>
      <c r="D1081"/>
      <c r="E1081"/>
      <c r="F1081"/>
      <c r="G1081"/>
      <c r="H1081"/>
      <c r="I1081"/>
      <c r="J1081"/>
    </row>
    <row r="1082" spans="2:10" hidden="1" x14ac:dyDescent="0.25">
      <c r="B1082"/>
      <c r="C1082"/>
      <c r="D1082"/>
      <c r="E1082"/>
      <c r="F1082"/>
      <c r="G1082"/>
      <c r="H1082"/>
      <c r="I1082"/>
      <c r="J1082"/>
    </row>
    <row r="1083" spans="2:10" hidden="1" x14ac:dyDescent="0.25">
      <c r="B1083"/>
      <c r="C1083"/>
      <c r="D1083"/>
      <c r="E1083"/>
      <c r="F1083"/>
      <c r="G1083"/>
      <c r="H1083"/>
      <c r="I1083"/>
      <c r="J1083"/>
    </row>
    <row r="1084" spans="2:10" hidden="1" x14ac:dyDescent="0.25">
      <c r="B1084"/>
      <c r="C1084"/>
      <c r="D1084"/>
      <c r="E1084"/>
      <c r="F1084"/>
      <c r="G1084"/>
      <c r="H1084"/>
      <c r="I1084"/>
      <c r="J1084"/>
    </row>
    <row r="1085" spans="2:10" hidden="1" x14ac:dyDescent="0.25">
      <c r="B1085"/>
      <c r="C1085"/>
      <c r="D1085"/>
      <c r="E1085"/>
      <c r="F1085"/>
      <c r="G1085"/>
      <c r="H1085"/>
      <c r="I1085"/>
      <c r="J1085"/>
    </row>
    <row r="1086" spans="2:10" hidden="1" x14ac:dyDescent="0.25">
      <c r="B1086"/>
      <c r="C1086"/>
      <c r="D1086"/>
      <c r="E1086"/>
      <c r="F1086"/>
      <c r="G1086"/>
      <c r="H1086"/>
      <c r="I1086"/>
      <c r="J1086"/>
    </row>
    <row r="1087" spans="2:10" hidden="1" x14ac:dyDescent="0.25">
      <c r="B1087"/>
      <c r="C1087"/>
      <c r="D1087"/>
      <c r="E1087"/>
      <c r="F1087"/>
      <c r="G1087"/>
      <c r="H1087"/>
      <c r="I1087"/>
      <c r="J1087"/>
    </row>
    <row r="1088" spans="2:10" hidden="1" x14ac:dyDescent="0.25">
      <c r="B1088"/>
      <c r="C1088"/>
      <c r="D1088"/>
      <c r="E1088"/>
      <c r="F1088"/>
      <c r="G1088"/>
      <c r="H1088"/>
      <c r="I1088"/>
      <c r="J1088"/>
    </row>
    <row r="1089" spans="2:10" hidden="1" x14ac:dyDescent="0.25">
      <c r="B1089"/>
      <c r="C1089"/>
      <c r="D1089"/>
      <c r="E1089"/>
      <c r="F1089"/>
      <c r="G1089"/>
      <c r="H1089"/>
      <c r="I1089"/>
      <c r="J1089"/>
    </row>
    <row r="1090" spans="2:10" hidden="1" x14ac:dyDescent="0.25">
      <c r="B1090"/>
      <c r="C1090"/>
      <c r="D1090"/>
      <c r="E1090"/>
      <c r="F1090"/>
      <c r="G1090"/>
      <c r="H1090"/>
      <c r="I1090"/>
      <c r="J1090"/>
    </row>
    <row r="1091" spans="2:10" hidden="1" x14ac:dyDescent="0.25">
      <c r="B1091"/>
      <c r="C1091"/>
      <c r="D1091"/>
      <c r="E1091"/>
      <c r="F1091"/>
      <c r="G1091"/>
      <c r="H1091"/>
      <c r="I1091"/>
      <c r="J1091"/>
    </row>
    <row r="1092" spans="2:10" hidden="1" x14ac:dyDescent="0.25">
      <c r="B1092"/>
      <c r="C1092"/>
      <c r="D1092"/>
      <c r="E1092"/>
      <c r="F1092"/>
      <c r="G1092"/>
      <c r="H1092"/>
      <c r="I1092"/>
      <c r="J1092"/>
    </row>
    <row r="1093" spans="2:10" hidden="1" x14ac:dyDescent="0.25">
      <c r="B1093"/>
      <c r="C1093"/>
      <c r="D1093"/>
      <c r="E1093"/>
      <c r="F1093"/>
      <c r="G1093"/>
      <c r="H1093"/>
      <c r="I1093"/>
      <c r="J1093"/>
    </row>
    <row r="1094" spans="2:10" hidden="1" x14ac:dyDescent="0.25">
      <c r="B1094"/>
      <c r="C1094"/>
      <c r="D1094"/>
      <c r="E1094"/>
      <c r="F1094"/>
      <c r="G1094"/>
      <c r="H1094"/>
      <c r="I1094"/>
      <c r="J1094"/>
    </row>
    <row r="1095" spans="2:10" hidden="1" x14ac:dyDescent="0.25">
      <c r="B1095"/>
      <c r="C1095"/>
      <c r="D1095"/>
      <c r="E1095"/>
      <c r="F1095"/>
      <c r="G1095"/>
      <c r="H1095"/>
      <c r="I1095"/>
      <c r="J1095"/>
    </row>
    <row r="1096" spans="2:10" hidden="1" x14ac:dyDescent="0.25">
      <c r="B1096"/>
      <c r="C1096"/>
      <c r="D1096"/>
      <c r="E1096"/>
      <c r="F1096"/>
      <c r="G1096"/>
      <c r="H1096"/>
      <c r="I1096"/>
      <c r="J1096"/>
    </row>
    <row r="1097" spans="2:10" hidden="1" x14ac:dyDescent="0.25">
      <c r="B1097"/>
      <c r="C1097"/>
      <c r="D1097"/>
      <c r="E1097"/>
      <c r="F1097"/>
      <c r="G1097"/>
      <c r="H1097"/>
      <c r="I1097"/>
      <c r="J1097"/>
    </row>
    <row r="1098" spans="2:10" hidden="1" x14ac:dyDescent="0.25">
      <c r="B1098"/>
      <c r="C1098"/>
      <c r="D1098"/>
      <c r="E1098"/>
      <c r="F1098"/>
      <c r="G1098"/>
      <c r="H1098"/>
      <c r="I1098"/>
      <c r="J1098"/>
    </row>
    <row r="1099" spans="2:10" hidden="1" x14ac:dyDescent="0.25">
      <c r="B1099"/>
      <c r="C1099"/>
      <c r="D1099"/>
      <c r="E1099"/>
      <c r="F1099"/>
      <c r="G1099"/>
      <c r="H1099"/>
      <c r="I1099"/>
      <c r="J1099"/>
    </row>
    <row r="1100" spans="2:10" hidden="1" x14ac:dyDescent="0.25">
      <c r="B1100"/>
      <c r="C1100"/>
      <c r="D1100"/>
      <c r="E1100"/>
      <c r="F1100"/>
      <c r="G1100"/>
      <c r="H1100"/>
      <c r="I1100"/>
      <c r="J1100"/>
    </row>
    <row r="1101" spans="2:10" hidden="1" x14ac:dyDescent="0.25">
      <c r="B1101"/>
      <c r="C1101"/>
      <c r="D1101"/>
      <c r="E1101"/>
      <c r="F1101"/>
      <c r="G1101"/>
      <c r="H1101"/>
      <c r="I1101"/>
      <c r="J1101"/>
    </row>
    <row r="1102" spans="2:10" hidden="1" x14ac:dyDescent="0.25">
      <c r="B1102"/>
      <c r="C1102"/>
      <c r="D1102"/>
      <c r="E1102"/>
      <c r="F1102"/>
      <c r="G1102"/>
      <c r="H1102"/>
      <c r="I1102"/>
      <c r="J1102"/>
    </row>
    <row r="1103" spans="2:10" hidden="1" x14ac:dyDescent="0.25">
      <c r="B1103"/>
      <c r="C1103"/>
      <c r="D1103"/>
      <c r="E1103"/>
      <c r="F1103"/>
      <c r="G1103"/>
      <c r="H1103"/>
      <c r="I1103"/>
      <c r="J1103"/>
    </row>
    <row r="1104" spans="2:10" hidden="1" x14ac:dyDescent="0.25">
      <c r="B1104"/>
      <c r="C1104"/>
      <c r="D1104"/>
      <c r="E1104"/>
      <c r="F1104"/>
      <c r="G1104"/>
      <c r="H1104"/>
      <c r="I1104"/>
      <c r="J1104"/>
    </row>
    <row r="1105" spans="2:10" hidden="1" x14ac:dyDescent="0.25">
      <c r="B1105"/>
      <c r="C1105"/>
      <c r="D1105"/>
      <c r="E1105"/>
      <c r="F1105"/>
      <c r="G1105"/>
      <c r="H1105"/>
      <c r="I1105"/>
      <c r="J1105"/>
    </row>
    <row r="1106" spans="2:10" hidden="1" x14ac:dyDescent="0.25">
      <c r="B1106"/>
      <c r="C1106"/>
      <c r="D1106"/>
      <c r="E1106"/>
      <c r="F1106"/>
      <c r="G1106"/>
      <c r="H1106"/>
      <c r="I1106"/>
      <c r="J1106"/>
    </row>
    <row r="1107" spans="2:10" hidden="1" x14ac:dyDescent="0.25">
      <c r="B1107"/>
      <c r="C1107"/>
      <c r="D1107"/>
      <c r="E1107"/>
      <c r="F1107"/>
      <c r="G1107"/>
      <c r="H1107"/>
      <c r="I1107"/>
      <c r="J1107"/>
    </row>
    <row r="1108" spans="2:10" hidden="1" x14ac:dyDescent="0.25">
      <c r="B1108"/>
      <c r="C1108"/>
      <c r="D1108"/>
      <c r="E1108"/>
      <c r="F1108"/>
      <c r="G1108"/>
      <c r="H1108"/>
      <c r="I1108"/>
      <c r="J1108"/>
    </row>
    <row r="1109" spans="2:10" hidden="1" x14ac:dyDescent="0.25">
      <c r="B1109"/>
      <c r="C1109"/>
      <c r="D1109"/>
      <c r="E1109"/>
      <c r="F1109"/>
      <c r="G1109"/>
      <c r="H1109"/>
      <c r="I1109"/>
      <c r="J1109"/>
    </row>
    <row r="1110" spans="2:10" hidden="1" x14ac:dyDescent="0.25">
      <c r="B1110"/>
      <c r="C1110"/>
      <c r="D1110"/>
      <c r="E1110"/>
      <c r="F1110"/>
      <c r="G1110"/>
      <c r="H1110"/>
      <c r="I1110"/>
      <c r="J1110"/>
    </row>
    <row r="1111" spans="2:10" hidden="1" x14ac:dyDescent="0.25">
      <c r="B1111"/>
      <c r="C1111"/>
      <c r="D1111"/>
      <c r="E1111"/>
      <c r="F1111"/>
      <c r="G1111"/>
      <c r="H1111"/>
      <c r="I1111"/>
      <c r="J1111"/>
    </row>
    <row r="1112" spans="2:10" hidden="1" x14ac:dyDescent="0.25">
      <c r="B1112"/>
      <c r="C1112"/>
      <c r="D1112"/>
      <c r="E1112"/>
      <c r="F1112"/>
      <c r="G1112"/>
      <c r="H1112"/>
      <c r="I1112"/>
      <c r="J1112"/>
    </row>
    <row r="1113" spans="2:10" hidden="1" x14ac:dyDescent="0.25">
      <c r="B1113"/>
      <c r="C1113"/>
      <c r="D1113"/>
      <c r="E1113"/>
      <c r="F1113"/>
      <c r="G1113"/>
      <c r="H1113"/>
      <c r="I1113"/>
      <c r="J1113"/>
    </row>
    <row r="1114" spans="2:10" hidden="1" x14ac:dyDescent="0.25">
      <c r="B1114"/>
      <c r="C1114"/>
      <c r="D1114"/>
      <c r="E1114"/>
      <c r="F1114"/>
      <c r="G1114"/>
      <c r="H1114"/>
      <c r="I1114"/>
      <c r="J1114"/>
    </row>
    <row r="1115" spans="2:10" hidden="1" x14ac:dyDescent="0.25">
      <c r="B1115"/>
      <c r="C1115"/>
      <c r="D1115"/>
      <c r="E1115"/>
      <c r="F1115"/>
      <c r="G1115"/>
      <c r="H1115"/>
      <c r="I1115"/>
      <c r="J1115"/>
    </row>
    <row r="1116" spans="2:10" hidden="1" x14ac:dyDescent="0.25">
      <c r="B1116"/>
      <c r="C1116"/>
      <c r="D1116"/>
      <c r="E1116"/>
      <c r="F1116"/>
      <c r="G1116"/>
      <c r="H1116"/>
      <c r="I1116"/>
      <c r="J1116"/>
    </row>
    <row r="1117" spans="2:10" hidden="1" x14ac:dyDescent="0.25">
      <c r="B1117"/>
      <c r="C1117"/>
      <c r="D1117"/>
      <c r="E1117"/>
      <c r="F1117"/>
      <c r="G1117"/>
      <c r="H1117"/>
      <c r="I1117"/>
      <c r="J1117"/>
    </row>
    <row r="1118" spans="2:10" hidden="1" x14ac:dyDescent="0.25">
      <c r="B1118"/>
      <c r="C1118"/>
      <c r="D1118"/>
      <c r="E1118"/>
      <c r="F1118"/>
      <c r="G1118"/>
      <c r="H1118"/>
      <c r="I1118"/>
      <c r="J1118"/>
    </row>
    <row r="1119" spans="2:10" hidden="1" x14ac:dyDescent="0.25">
      <c r="B1119"/>
      <c r="C1119"/>
      <c r="D1119"/>
      <c r="E1119"/>
      <c r="F1119"/>
      <c r="G1119"/>
      <c r="H1119"/>
      <c r="I1119"/>
      <c r="J1119"/>
    </row>
    <row r="1120" spans="2:10" hidden="1" x14ac:dyDescent="0.25">
      <c r="B1120"/>
      <c r="C1120"/>
      <c r="D1120"/>
      <c r="E1120"/>
      <c r="F1120"/>
      <c r="G1120"/>
      <c r="H1120"/>
      <c r="I1120"/>
      <c r="J1120"/>
    </row>
    <row r="1121" spans="2:10" hidden="1" x14ac:dyDescent="0.25">
      <c r="B1121"/>
      <c r="C1121"/>
      <c r="D1121"/>
      <c r="E1121"/>
      <c r="F1121"/>
      <c r="G1121"/>
      <c r="H1121"/>
      <c r="I1121"/>
      <c r="J1121"/>
    </row>
    <row r="1122" spans="2:10" hidden="1" x14ac:dyDescent="0.25">
      <c r="B1122"/>
      <c r="C1122"/>
      <c r="D1122"/>
      <c r="E1122"/>
      <c r="F1122"/>
      <c r="G1122"/>
      <c r="H1122"/>
      <c r="I1122"/>
      <c r="J1122"/>
    </row>
    <row r="1123" spans="2:10" hidden="1" x14ac:dyDescent="0.25">
      <c r="B1123"/>
      <c r="C1123"/>
      <c r="D1123"/>
      <c r="E1123"/>
      <c r="F1123"/>
      <c r="G1123"/>
      <c r="H1123"/>
      <c r="I1123"/>
      <c r="J1123"/>
    </row>
    <row r="1124" spans="2:10" hidden="1" x14ac:dyDescent="0.25">
      <c r="B1124"/>
      <c r="C1124"/>
      <c r="D1124"/>
      <c r="E1124"/>
      <c r="F1124"/>
      <c r="G1124"/>
      <c r="H1124"/>
      <c r="I1124"/>
      <c r="J1124"/>
    </row>
    <row r="1125" spans="2:10" hidden="1" x14ac:dyDescent="0.25">
      <c r="B1125"/>
      <c r="C1125"/>
      <c r="D1125"/>
      <c r="E1125"/>
      <c r="F1125"/>
      <c r="G1125"/>
      <c r="H1125"/>
      <c r="I1125"/>
      <c r="J1125"/>
    </row>
    <row r="1126" spans="2:10" hidden="1" x14ac:dyDescent="0.25">
      <c r="B1126"/>
      <c r="C1126"/>
      <c r="D1126"/>
      <c r="E1126"/>
      <c r="F1126"/>
      <c r="G1126"/>
      <c r="H1126"/>
      <c r="I1126"/>
      <c r="J1126"/>
    </row>
    <row r="1127" spans="2:10" hidden="1" x14ac:dyDescent="0.25">
      <c r="B1127"/>
      <c r="C1127"/>
      <c r="D1127"/>
      <c r="E1127"/>
      <c r="F1127"/>
      <c r="G1127"/>
      <c r="H1127"/>
      <c r="I1127"/>
      <c r="J1127"/>
    </row>
    <row r="1128" spans="2:10" hidden="1" x14ac:dyDescent="0.25">
      <c r="B1128"/>
      <c r="C1128"/>
      <c r="D1128"/>
      <c r="E1128"/>
      <c r="F1128"/>
      <c r="G1128"/>
      <c r="H1128"/>
      <c r="I1128"/>
      <c r="J1128"/>
    </row>
    <row r="1129" spans="2:10" hidden="1" x14ac:dyDescent="0.25">
      <c r="B1129"/>
      <c r="C1129"/>
      <c r="D1129"/>
      <c r="E1129"/>
      <c r="F1129"/>
      <c r="G1129"/>
      <c r="H1129"/>
      <c r="I1129"/>
      <c r="J1129"/>
    </row>
    <row r="1130" spans="2:10" hidden="1" x14ac:dyDescent="0.25">
      <c r="B1130"/>
      <c r="C1130"/>
      <c r="D1130"/>
      <c r="E1130"/>
      <c r="F1130"/>
      <c r="G1130"/>
      <c r="H1130"/>
      <c r="I1130"/>
      <c r="J1130"/>
    </row>
    <row r="1131" spans="2:10" hidden="1" x14ac:dyDescent="0.25">
      <c r="B1131"/>
      <c r="C1131"/>
      <c r="D1131"/>
      <c r="E1131"/>
      <c r="F1131"/>
      <c r="G1131"/>
      <c r="H1131"/>
      <c r="I1131"/>
      <c r="J1131"/>
    </row>
    <row r="1132" spans="2:10" hidden="1" x14ac:dyDescent="0.25">
      <c r="B1132"/>
      <c r="C1132"/>
      <c r="D1132"/>
      <c r="E1132"/>
      <c r="F1132"/>
      <c r="G1132"/>
      <c r="H1132"/>
      <c r="I1132"/>
      <c r="J1132"/>
    </row>
    <row r="1133" spans="2:10" hidden="1" x14ac:dyDescent="0.25">
      <c r="B1133"/>
      <c r="C1133"/>
      <c r="D1133"/>
      <c r="E1133"/>
      <c r="F1133"/>
      <c r="G1133"/>
      <c r="H1133"/>
      <c r="I1133"/>
      <c r="J1133"/>
    </row>
    <row r="1134" spans="2:10" hidden="1" x14ac:dyDescent="0.25">
      <c r="B1134"/>
      <c r="C1134"/>
      <c r="D1134"/>
      <c r="E1134"/>
      <c r="F1134"/>
      <c r="G1134"/>
      <c r="H1134"/>
      <c r="I1134"/>
      <c r="J1134"/>
    </row>
    <row r="1135" spans="2:10" hidden="1" x14ac:dyDescent="0.25">
      <c r="B1135"/>
      <c r="C1135"/>
      <c r="D1135"/>
      <c r="E1135"/>
      <c r="F1135"/>
      <c r="G1135"/>
      <c r="H1135"/>
      <c r="I1135"/>
      <c r="J1135"/>
    </row>
    <row r="1136" spans="2:10" hidden="1" x14ac:dyDescent="0.25">
      <c r="B1136"/>
      <c r="C1136"/>
      <c r="D1136"/>
      <c r="E1136"/>
      <c r="F1136"/>
      <c r="G1136"/>
      <c r="H1136"/>
      <c r="I1136"/>
      <c r="J1136"/>
    </row>
    <row r="1137" spans="2:10" hidden="1" x14ac:dyDescent="0.25">
      <c r="B1137"/>
      <c r="C1137"/>
      <c r="D1137"/>
      <c r="E1137"/>
      <c r="F1137"/>
      <c r="G1137"/>
      <c r="H1137"/>
      <c r="I1137"/>
      <c r="J1137"/>
    </row>
    <row r="1138" spans="2:10" hidden="1" x14ac:dyDescent="0.25">
      <c r="B1138"/>
      <c r="C1138"/>
      <c r="D1138"/>
      <c r="E1138"/>
      <c r="F1138"/>
      <c r="G1138"/>
      <c r="H1138"/>
      <c r="I1138"/>
      <c r="J1138"/>
    </row>
    <row r="1139" spans="2:10" hidden="1" x14ac:dyDescent="0.25">
      <c r="B1139"/>
      <c r="C1139"/>
      <c r="D1139"/>
      <c r="E1139"/>
      <c r="F1139"/>
      <c r="G1139"/>
      <c r="H1139"/>
      <c r="I1139"/>
      <c r="J1139"/>
    </row>
    <row r="1140" spans="2:10" hidden="1" x14ac:dyDescent="0.25">
      <c r="B1140"/>
      <c r="C1140"/>
      <c r="D1140"/>
      <c r="E1140"/>
      <c r="F1140"/>
      <c r="G1140"/>
      <c r="H1140"/>
      <c r="I1140"/>
      <c r="J1140"/>
    </row>
    <row r="1141" spans="2:10" hidden="1" x14ac:dyDescent="0.25">
      <c r="B1141"/>
      <c r="C1141"/>
      <c r="D1141"/>
      <c r="E1141"/>
      <c r="F1141"/>
      <c r="G1141"/>
      <c r="H1141"/>
      <c r="I1141"/>
      <c r="J1141"/>
    </row>
    <row r="1142" spans="2:10" hidden="1" x14ac:dyDescent="0.25">
      <c r="B1142"/>
      <c r="C1142"/>
      <c r="D1142"/>
      <c r="E1142"/>
      <c r="F1142"/>
      <c r="G1142"/>
      <c r="H1142"/>
      <c r="I1142"/>
      <c r="J1142"/>
    </row>
    <row r="1143" spans="2:10" hidden="1" x14ac:dyDescent="0.25">
      <c r="B1143"/>
      <c r="C1143"/>
      <c r="D1143"/>
      <c r="E1143"/>
      <c r="F1143"/>
      <c r="G1143"/>
      <c r="H1143"/>
      <c r="I1143"/>
      <c r="J1143"/>
    </row>
    <row r="1144" spans="2:10" hidden="1" x14ac:dyDescent="0.25">
      <c r="B1144"/>
      <c r="C1144"/>
      <c r="D1144"/>
      <c r="E1144"/>
      <c r="F1144"/>
      <c r="G1144"/>
      <c r="H1144"/>
      <c r="I1144"/>
      <c r="J1144"/>
    </row>
    <row r="1145" spans="2:10" hidden="1" x14ac:dyDescent="0.25">
      <c r="B1145"/>
      <c r="C1145"/>
      <c r="D1145"/>
      <c r="E1145"/>
      <c r="F1145"/>
      <c r="G1145"/>
      <c r="H1145"/>
      <c r="I1145"/>
      <c r="J1145"/>
    </row>
    <row r="1146" spans="2:10" hidden="1" x14ac:dyDescent="0.25">
      <c r="B1146"/>
      <c r="C1146"/>
      <c r="D1146"/>
      <c r="E1146"/>
      <c r="F1146"/>
      <c r="G1146"/>
      <c r="H1146"/>
      <c r="I1146"/>
      <c r="J1146"/>
    </row>
    <row r="1147" spans="2:10" hidden="1" x14ac:dyDescent="0.25">
      <c r="B1147"/>
      <c r="C1147"/>
      <c r="D1147"/>
      <c r="E1147"/>
      <c r="F1147"/>
      <c r="G1147"/>
      <c r="H1147"/>
      <c r="I1147"/>
      <c r="J1147"/>
    </row>
    <row r="1148" spans="2:10" hidden="1" x14ac:dyDescent="0.25">
      <c r="B1148"/>
      <c r="C1148"/>
      <c r="D1148"/>
      <c r="E1148"/>
      <c r="F1148"/>
      <c r="G1148"/>
      <c r="H1148"/>
      <c r="I1148"/>
      <c r="J1148"/>
    </row>
    <row r="1149" spans="2:10" hidden="1" x14ac:dyDescent="0.25">
      <c r="B1149"/>
      <c r="C1149"/>
      <c r="D1149"/>
      <c r="E1149"/>
      <c r="F1149"/>
      <c r="G1149"/>
      <c r="H1149"/>
      <c r="I1149"/>
      <c r="J1149"/>
    </row>
    <row r="1150" spans="2:10" hidden="1" x14ac:dyDescent="0.25">
      <c r="B1150"/>
      <c r="C1150"/>
      <c r="D1150"/>
      <c r="E1150"/>
      <c r="F1150"/>
      <c r="G1150"/>
      <c r="H1150"/>
      <c r="I1150"/>
      <c r="J1150"/>
    </row>
    <row r="1151" spans="2:10" hidden="1" x14ac:dyDescent="0.25">
      <c r="B1151"/>
      <c r="C1151"/>
      <c r="D1151"/>
      <c r="E1151"/>
      <c r="F1151"/>
      <c r="G1151"/>
      <c r="H1151"/>
      <c r="I1151"/>
      <c r="J1151"/>
    </row>
    <row r="1152" spans="2:10" hidden="1" x14ac:dyDescent="0.25">
      <c r="B1152"/>
      <c r="C1152"/>
      <c r="D1152"/>
      <c r="E1152"/>
      <c r="F1152"/>
      <c r="G1152"/>
      <c r="H1152"/>
      <c r="I1152"/>
      <c r="J1152"/>
    </row>
    <row r="1153" spans="2:10" hidden="1" x14ac:dyDescent="0.25">
      <c r="B1153"/>
      <c r="C1153"/>
      <c r="D1153"/>
      <c r="E1153"/>
      <c r="F1153"/>
      <c r="G1153"/>
      <c r="H1153"/>
      <c r="I1153"/>
      <c r="J1153"/>
    </row>
    <row r="1154" spans="2:10" hidden="1" x14ac:dyDescent="0.25">
      <c r="B1154"/>
      <c r="C1154"/>
      <c r="D1154"/>
      <c r="E1154"/>
      <c r="F1154"/>
      <c r="G1154"/>
      <c r="H1154"/>
      <c r="I1154"/>
      <c r="J1154"/>
    </row>
    <row r="1155" spans="2:10" hidden="1" x14ac:dyDescent="0.25">
      <c r="B1155"/>
      <c r="C1155"/>
      <c r="D1155"/>
      <c r="E1155"/>
      <c r="F1155"/>
      <c r="G1155"/>
      <c r="H1155"/>
      <c r="I1155"/>
      <c r="J1155"/>
    </row>
    <row r="1156" spans="2:10" hidden="1" x14ac:dyDescent="0.25">
      <c r="B1156"/>
      <c r="C1156"/>
      <c r="D1156"/>
      <c r="E1156"/>
      <c r="F1156"/>
      <c r="G1156"/>
      <c r="H1156"/>
      <c r="I1156"/>
      <c r="J1156"/>
    </row>
    <row r="1157" spans="2:10" hidden="1" x14ac:dyDescent="0.25">
      <c r="B1157"/>
      <c r="C1157"/>
      <c r="D1157"/>
      <c r="E1157"/>
      <c r="F1157"/>
      <c r="G1157"/>
      <c r="H1157"/>
      <c r="I1157"/>
      <c r="J1157"/>
    </row>
    <row r="1158" spans="2:10" hidden="1" x14ac:dyDescent="0.25">
      <c r="B1158"/>
      <c r="C1158"/>
      <c r="D1158"/>
      <c r="E1158"/>
      <c r="F1158"/>
      <c r="G1158"/>
      <c r="H1158"/>
      <c r="I1158"/>
      <c r="J1158"/>
    </row>
    <row r="1159" spans="2:10" hidden="1" x14ac:dyDescent="0.25">
      <c r="B1159"/>
      <c r="C1159"/>
      <c r="D1159"/>
      <c r="E1159"/>
      <c r="F1159"/>
      <c r="G1159"/>
      <c r="H1159"/>
      <c r="I1159"/>
      <c r="J1159"/>
    </row>
    <row r="1160" spans="2:10" hidden="1" x14ac:dyDescent="0.25">
      <c r="B1160"/>
      <c r="C1160"/>
      <c r="D1160"/>
      <c r="E1160"/>
      <c r="F1160"/>
      <c r="G1160"/>
      <c r="H1160"/>
      <c r="I1160"/>
      <c r="J1160"/>
    </row>
    <row r="1161" spans="2:10" hidden="1" x14ac:dyDescent="0.25">
      <c r="B1161"/>
      <c r="C1161"/>
      <c r="D1161"/>
      <c r="E1161"/>
      <c r="F1161"/>
      <c r="G1161"/>
      <c r="H1161"/>
      <c r="I1161"/>
      <c r="J1161"/>
    </row>
    <row r="1162" spans="2:10" hidden="1" x14ac:dyDescent="0.25">
      <c r="B1162"/>
      <c r="C1162"/>
      <c r="D1162"/>
      <c r="E1162"/>
      <c r="F1162"/>
      <c r="G1162"/>
      <c r="H1162"/>
      <c r="I1162"/>
      <c r="J1162"/>
    </row>
    <row r="1163" spans="2:10" hidden="1" x14ac:dyDescent="0.25">
      <c r="B1163"/>
      <c r="C1163"/>
      <c r="D1163"/>
      <c r="E1163"/>
      <c r="F1163"/>
      <c r="G1163"/>
      <c r="H1163"/>
      <c r="I1163"/>
      <c r="J1163"/>
    </row>
    <row r="1164" spans="2:10" hidden="1" x14ac:dyDescent="0.25">
      <c r="B1164"/>
      <c r="C1164"/>
      <c r="D1164"/>
      <c r="E1164"/>
      <c r="F1164"/>
      <c r="G1164"/>
      <c r="H1164"/>
      <c r="I1164"/>
      <c r="J1164"/>
    </row>
    <row r="1165" spans="2:10" hidden="1" x14ac:dyDescent="0.25">
      <c r="B1165"/>
      <c r="C1165"/>
      <c r="D1165"/>
      <c r="E1165"/>
      <c r="F1165"/>
      <c r="G1165"/>
      <c r="H1165"/>
      <c r="I1165"/>
      <c r="J1165"/>
    </row>
    <row r="1166" spans="2:10" hidden="1" x14ac:dyDescent="0.25">
      <c r="B1166"/>
      <c r="C1166"/>
      <c r="D1166"/>
      <c r="E1166"/>
      <c r="F1166"/>
      <c r="G1166"/>
      <c r="H1166"/>
      <c r="I1166"/>
      <c r="J1166"/>
    </row>
    <row r="1167" spans="2:10" hidden="1" x14ac:dyDescent="0.25">
      <c r="B1167"/>
      <c r="C1167"/>
      <c r="D1167"/>
      <c r="E1167"/>
      <c r="F1167"/>
      <c r="G1167"/>
      <c r="H1167"/>
      <c r="I1167"/>
      <c r="J1167"/>
    </row>
    <row r="1168" spans="2:10" hidden="1" x14ac:dyDescent="0.25">
      <c r="B1168"/>
      <c r="C1168"/>
      <c r="D1168"/>
      <c r="E1168"/>
      <c r="F1168"/>
      <c r="G1168"/>
      <c r="H1168"/>
      <c r="I1168"/>
      <c r="J1168"/>
    </row>
    <row r="1169" spans="2:10" hidden="1" x14ac:dyDescent="0.25">
      <c r="B1169"/>
      <c r="C1169"/>
      <c r="D1169"/>
      <c r="E1169"/>
      <c r="F1169"/>
      <c r="G1169"/>
      <c r="H1169"/>
      <c r="I1169"/>
      <c r="J1169"/>
    </row>
    <row r="1170" spans="2:10" hidden="1" x14ac:dyDescent="0.25">
      <c r="B1170"/>
      <c r="C1170"/>
      <c r="D1170"/>
      <c r="E1170"/>
      <c r="F1170"/>
      <c r="G1170"/>
      <c r="H1170"/>
      <c r="I1170"/>
      <c r="J1170"/>
    </row>
    <row r="1171" spans="2:10" hidden="1" x14ac:dyDescent="0.25">
      <c r="B1171"/>
      <c r="C1171"/>
      <c r="D1171"/>
      <c r="E1171"/>
      <c r="F1171"/>
      <c r="G1171"/>
      <c r="H1171"/>
      <c r="I1171"/>
      <c r="J1171"/>
    </row>
    <row r="1172" spans="2:10" hidden="1" x14ac:dyDescent="0.25">
      <c r="B1172"/>
      <c r="C1172"/>
      <c r="D1172"/>
      <c r="E1172"/>
      <c r="F1172"/>
      <c r="G1172"/>
      <c r="H1172"/>
      <c r="I1172"/>
      <c r="J1172"/>
    </row>
    <row r="1173" spans="2:10" hidden="1" x14ac:dyDescent="0.25">
      <c r="B1173"/>
      <c r="C1173"/>
      <c r="D1173"/>
      <c r="E1173"/>
      <c r="F1173"/>
      <c r="G1173"/>
      <c r="H1173"/>
      <c r="I1173"/>
      <c r="J1173"/>
    </row>
    <row r="1174" spans="2:10" hidden="1" x14ac:dyDescent="0.25">
      <c r="B1174"/>
      <c r="C1174"/>
      <c r="D1174"/>
      <c r="E1174"/>
      <c r="F1174"/>
      <c r="G1174"/>
      <c r="H1174"/>
      <c r="I1174"/>
      <c r="J1174"/>
    </row>
    <row r="1175" spans="2:10" hidden="1" x14ac:dyDescent="0.25">
      <c r="B1175"/>
      <c r="C1175"/>
      <c r="D1175"/>
      <c r="E1175"/>
      <c r="F1175"/>
      <c r="G1175"/>
      <c r="H1175"/>
      <c r="I1175"/>
      <c r="J1175"/>
    </row>
    <row r="1176" spans="2:10" hidden="1" x14ac:dyDescent="0.25">
      <c r="B1176"/>
      <c r="C1176"/>
      <c r="D1176"/>
      <c r="E1176"/>
      <c r="F1176"/>
      <c r="G1176"/>
      <c r="H1176"/>
      <c r="I1176"/>
      <c r="J1176"/>
    </row>
    <row r="1177" spans="2:10" hidden="1" x14ac:dyDescent="0.25">
      <c r="B1177"/>
      <c r="C1177"/>
      <c r="D1177"/>
      <c r="E1177"/>
      <c r="F1177"/>
      <c r="G1177"/>
      <c r="H1177"/>
      <c r="I1177"/>
      <c r="J1177"/>
    </row>
    <row r="1178" spans="2:10" hidden="1" x14ac:dyDescent="0.25">
      <c r="B1178"/>
      <c r="C1178"/>
      <c r="D1178"/>
      <c r="E1178"/>
      <c r="F1178"/>
      <c r="G1178"/>
      <c r="H1178"/>
      <c r="I1178"/>
      <c r="J1178"/>
    </row>
    <row r="1179" spans="2:10" hidden="1" x14ac:dyDescent="0.25">
      <c r="B1179"/>
      <c r="C1179"/>
      <c r="D1179"/>
      <c r="E1179"/>
      <c r="F1179"/>
      <c r="G1179"/>
      <c r="H1179"/>
      <c r="I1179"/>
      <c r="J1179"/>
    </row>
    <row r="1180" spans="2:10" hidden="1" x14ac:dyDescent="0.25">
      <c r="B1180"/>
      <c r="C1180"/>
      <c r="D1180"/>
      <c r="E1180"/>
      <c r="F1180"/>
      <c r="G1180"/>
      <c r="H1180"/>
      <c r="I1180"/>
      <c r="J1180"/>
    </row>
    <row r="1181" spans="2:10" hidden="1" x14ac:dyDescent="0.25">
      <c r="B1181"/>
      <c r="C1181"/>
      <c r="D1181"/>
      <c r="E1181"/>
      <c r="F1181"/>
      <c r="G1181"/>
      <c r="H1181"/>
      <c r="I1181"/>
      <c r="J1181"/>
    </row>
    <row r="1182" spans="2:10" hidden="1" x14ac:dyDescent="0.25">
      <c r="B1182"/>
      <c r="C1182"/>
      <c r="D1182"/>
      <c r="E1182"/>
      <c r="F1182"/>
      <c r="G1182"/>
      <c r="H1182"/>
      <c r="I1182"/>
      <c r="J1182"/>
    </row>
    <row r="1183" spans="2:10" hidden="1" x14ac:dyDescent="0.25">
      <c r="B1183"/>
      <c r="C1183"/>
      <c r="D1183"/>
      <c r="E1183"/>
      <c r="F1183"/>
      <c r="G1183"/>
      <c r="H1183"/>
      <c r="I1183"/>
      <c r="J1183"/>
    </row>
    <row r="1184" spans="2:10" hidden="1" x14ac:dyDescent="0.25">
      <c r="B1184"/>
      <c r="C1184"/>
      <c r="D1184"/>
      <c r="E1184"/>
      <c r="F1184"/>
      <c r="G1184"/>
      <c r="H1184"/>
      <c r="I1184"/>
      <c r="J1184"/>
    </row>
    <row r="1185" spans="2:10" hidden="1" x14ac:dyDescent="0.25">
      <c r="B1185"/>
      <c r="C1185"/>
      <c r="D1185"/>
      <c r="E1185"/>
      <c r="F1185"/>
      <c r="G1185"/>
      <c r="H1185"/>
      <c r="I1185"/>
      <c r="J1185"/>
    </row>
    <row r="1186" spans="2:10" hidden="1" x14ac:dyDescent="0.25">
      <c r="B1186"/>
      <c r="C1186"/>
      <c r="D1186"/>
      <c r="E1186"/>
      <c r="F1186"/>
      <c r="G1186"/>
      <c r="H1186"/>
      <c r="I1186"/>
      <c r="J1186"/>
    </row>
    <row r="1187" spans="2:10" hidden="1" x14ac:dyDescent="0.25">
      <c r="B1187"/>
      <c r="C1187"/>
      <c r="D1187"/>
      <c r="E1187"/>
      <c r="F1187"/>
      <c r="G1187"/>
      <c r="H1187"/>
      <c r="I1187"/>
      <c r="J1187"/>
    </row>
    <row r="1188" spans="2:10" hidden="1" x14ac:dyDescent="0.25">
      <c r="B1188"/>
      <c r="C1188"/>
      <c r="D1188"/>
      <c r="E1188"/>
      <c r="F1188"/>
      <c r="G1188"/>
      <c r="H1188"/>
      <c r="I1188"/>
      <c r="J1188"/>
    </row>
    <row r="1189" spans="2:10" hidden="1" x14ac:dyDescent="0.25">
      <c r="B1189"/>
      <c r="C1189"/>
      <c r="D1189"/>
      <c r="E1189"/>
      <c r="F1189"/>
      <c r="G1189"/>
      <c r="H1189"/>
      <c r="I1189"/>
      <c r="J1189"/>
    </row>
    <row r="1190" spans="2:10" hidden="1" x14ac:dyDescent="0.25">
      <c r="B1190"/>
      <c r="C1190"/>
      <c r="D1190"/>
      <c r="E1190"/>
      <c r="F1190"/>
      <c r="G1190"/>
      <c r="H1190"/>
      <c r="I1190"/>
      <c r="J1190"/>
    </row>
    <row r="1191" spans="2:10" hidden="1" x14ac:dyDescent="0.25">
      <c r="B1191"/>
      <c r="C1191"/>
      <c r="D1191"/>
      <c r="E1191"/>
      <c r="F1191"/>
      <c r="G1191"/>
      <c r="H1191"/>
      <c r="I1191"/>
      <c r="J1191"/>
    </row>
    <row r="1192" spans="2:10" hidden="1" x14ac:dyDescent="0.25">
      <c r="B1192"/>
      <c r="C1192"/>
      <c r="D1192"/>
      <c r="E1192"/>
      <c r="F1192"/>
      <c r="G1192"/>
      <c r="H1192"/>
      <c r="I1192"/>
      <c r="J1192"/>
    </row>
    <row r="1193" spans="2:10" hidden="1" x14ac:dyDescent="0.25">
      <c r="B1193"/>
      <c r="C1193"/>
      <c r="D1193"/>
      <c r="E1193"/>
      <c r="F1193"/>
      <c r="G1193"/>
      <c r="H1193"/>
      <c r="I1193"/>
      <c r="J1193"/>
    </row>
    <row r="1194" spans="2:10" hidden="1" x14ac:dyDescent="0.25">
      <c r="B1194"/>
      <c r="C1194"/>
      <c r="D1194"/>
      <c r="E1194"/>
      <c r="F1194"/>
      <c r="G1194"/>
      <c r="H1194"/>
      <c r="I1194"/>
      <c r="J1194"/>
    </row>
    <row r="1195" spans="2:10" hidden="1" x14ac:dyDescent="0.25">
      <c r="B1195"/>
      <c r="C1195"/>
      <c r="D1195"/>
      <c r="E1195"/>
      <c r="F1195"/>
      <c r="G1195"/>
      <c r="H1195"/>
      <c r="I1195"/>
      <c r="J1195"/>
    </row>
    <row r="1196" spans="2:10" hidden="1" x14ac:dyDescent="0.25">
      <c r="B1196"/>
      <c r="C1196"/>
      <c r="D1196"/>
      <c r="E1196"/>
      <c r="F1196"/>
      <c r="G1196"/>
      <c r="H1196"/>
      <c r="I1196"/>
      <c r="J1196"/>
    </row>
    <row r="1197" spans="2:10" hidden="1" x14ac:dyDescent="0.25">
      <c r="B1197"/>
      <c r="C1197"/>
      <c r="D1197"/>
      <c r="E1197"/>
      <c r="F1197"/>
      <c r="G1197"/>
      <c r="H1197"/>
      <c r="I1197"/>
      <c r="J1197"/>
    </row>
    <row r="1198" spans="2:10" hidden="1" x14ac:dyDescent="0.25">
      <c r="B1198"/>
      <c r="C1198"/>
      <c r="D1198"/>
      <c r="E1198"/>
      <c r="F1198"/>
      <c r="G1198"/>
      <c r="H1198"/>
      <c r="I1198"/>
      <c r="J1198"/>
    </row>
    <row r="1199" spans="2:10" hidden="1" x14ac:dyDescent="0.25">
      <c r="B1199"/>
      <c r="C1199"/>
      <c r="D1199"/>
      <c r="E1199"/>
      <c r="F1199"/>
      <c r="G1199"/>
      <c r="H1199"/>
      <c r="I1199"/>
      <c r="J1199"/>
    </row>
    <row r="1200" spans="2:10" hidden="1" x14ac:dyDescent="0.25">
      <c r="B1200"/>
      <c r="C1200"/>
      <c r="D1200"/>
      <c r="E1200"/>
      <c r="F1200"/>
      <c r="G1200"/>
      <c r="H1200"/>
      <c r="I1200"/>
      <c r="J1200"/>
    </row>
    <row r="1201" spans="2:10" hidden="1" x14ac:dyDescent="0.25">
      <c r="B1201"/>
      <c r="C1201"/>
      <c r="D1201"/>
      <c r="E1201"/>
      <c r="F1201"/>
      <c r="G1201"/>
      <c r="H1201"/>
      <c r="I1201"/>
      <c r="J1201"/>
    </row>
    <row r="1202" spans="2:10" hidden="1" x14ac:dyDescent="0.25">
      <c r="B1202"/>
      <c r="C1202"/>
      <c r="D1202"/>
      <c r="E1202"/>
      <c r="F1202"/>
      <c r="G1202"/>
      <c r="H1202"/>
      <c r="I1202"/>
      <c r="J1202"/>
    </row>
    <row r="1203" spans="2:10" hidden="1" x14ac:dyDescent="0.25">
      <c r="B1203"/>
      <c r="C1203"/>
      <c r="D1203"/>
      <c r="E1203"/>
      <c r="F1203"/>
      <c r="G1203"/>
      <c r="H1203"/>
      <c r="I1203"/>
      <c r="J1203"/>
    </row>
    <row r="1204" spans="2:10" hidden="1" x14ac:dyDescent="0.25">
      <c r="B1204"/>
      <c r="C1204"/>
      <c r="D1204"/>
      <c r="E1204"/>
      <c r="F1204"/>
      <c r="G1204"/>
      <c r="H1204"/>
      <c r="I1204"/>
      <c r="J1204"/>
    </row>
    <row r="1205" spans="2:10" hidden="1" x14ac:dyDescent="0.25">
      <c r="B1205"/>
      <c r="C1205"/>
      <c r="D1205"/>
      <c r="E1205"/>
      <c r="F1205"/>
      <c r="G1205"/>
      <c r="H1205"/>
      <c r="I1205"/>
      <c r="J1205"/>
    </row>
    <row r="1206" spans="2:10" hidden="1" x14ac:dyDescent="0.25">
      <c r="B1206"/>
      <c r="C1206"/>
      <c r="D1206"/>
      <c r="E1206"/>
      <c r="F1206"/>
      <c r="G1206"/>
      <c r="H1206"/>
      <c r="I1206"/>
      <c r="J1206"/>
    </row>
    <row r="1207" spans="2:10" hidden="1" x14ac:dyDescent="0.25">
      <c r="B1207"/>
      <c r="C1207"/>
      <c r="D1207"/>
      <c r="E1207"/>
      <c r="F1207"/>
      <c r="G1207"/>
      <c r="H1207"/>
      <c r="I1207"/>
      <c r="J1207"/>
    </row>
    <row r="1208" spans="2:10" hidden="1" x14ac:dyDescent="0.25">
      <c r="B1208"/>
      <c r="C1208"/>
      <c r="D1208"/>
      <c r="E1208"/>
      <c r="F1208"/>
      <c r="G1208"/>
      <c r="H1208"/>
      <c r="I1208"/>
      <c r="J1208"/>
    </row>
    <row r="1209" spans="2:10" hidden="1" x14ac:dyDescent="0.25">
      <c r="B1209"/>
      <c r="C1209"/>
      <c r="D1209"/>
      <c r="E1209"/>
      <c r="F1209"/>
      <c r="G1209"/>
      <c r="H1209"/>
      <c r="I1209"/>
      <c r="J1209"/>
    </row>
    <row r="1210" spans="2:10" hidden="1" x14ac:dyDescent="0.25">
      <c r="B1210"/>
      <c r="C1210"/>
      <c r="D1210"/>
      <c r="E1210"/>
      <c r="F1210"/>
      <c r="G1210"/>
      <c r="H1210"/>
      <c r="I1210"/>
      <c r="J1210"/>
    </row>
    <row r="1211" spans="2:10" hidden="1" x14ac:dyDescent="0.25">
      <c r="B1211"/>
      <c r="C1211"/>
      <c r="D1211"/>
      <c r="E1211"/>
      <c r="F1211"/>
      <c r="G1211"/>
      <c r="H1211"/>
      <c r="I1211"/>
      <c r="J1211"/>
    </row>
    <row r="1212" spans="2:10" hidden="1" x14ac:dyDescent="0.25">
      <c r="B1212"/>
      <c r="C1212"/>
      <c r="D1212"/>
      <c r="E1212"/>
      <c r="F1212"/>
      <c r="G1212"/>
      <c r="H1212"/>
      <c r="I1212"/>
      <c r="J1212"/>
    </row>
    <row r="1213" spans="2:10" hidden="1" x14ac:dyDescent="0.25">
      <c r="B1213"/>
      <c r="C1213"/>
      <c r="D1213"/>
      <c r="E1213"/>
      <c r="F1213"/>
      <c r="G1213"/>
      <c r="H1213"/>
      <c r="I1213"/>
      <c r="J1213"/>
    </row>
    <row r="1214" spans="2:10" hidden="1" x14ac:dyDescent="0.25">
      <c r="B1214"/>
      <c r="C1214"/>
      <c r="D1214"/>
      <c r="E1214"/>
      <c r="F1214"/>
      <c r="G1214"/>
      <c r="H1214"/>
      <c r="I1214"/>
      <c r="J1214"/>
    </row>
    <row r="1215" spans="2:10" hidden="1" x14ac:dyDescent="0.25">
      <c r="B1215"/>
      <c r="C1215"/>
      <c r="D1215"/>
      <c r="E1215"/>
      <c r="F1215"/>
      <c r="G1215"/>
      <c r="H1215"/>
      <c r="I1215"/>
      <c r="J1215"/>
    </row>
    <row r="1216" spans="2:10" hidden="1" x14ac:dyDescent="0.25">
      <c r="B1216"/>
      <c r="C1216"/>
      <c r="D1216"/>
      <c r="E1216"/>
      <c r="F1216"/>
      <c r="G1216"/>
      <c r="H1216"/>
      <c r="I1216"/>
      <c r="J1216"/>
    </row>
    <row r="1217" spans="2:10" hidden="1" x14ac:dyDescent="0.25">
      <c r="B1217"/>
      <c r="C1217"/>
      <c r="D1217"/>
      <c r="E1217"/>
      <c r="F1217"/>
      <c r="G1217"/>
      <c r="H1217"/>
      <c r="I1217"/>
      <c r="J1217"/>
    </row>
    <row r="1218" spans="2:10" hidden="1" x14ac:dyDescent="0.25">
      <c r="B1218"/>
      <c r="C1218"/>
      <c r="D1218"/>
      <c r="E1218"/>
      <c r="F1218"/>
      <c r="G1218"/>
      <c r="H1218"/>
      <c r="I1218"/>
      <c r="J1218"/>
    </row>
    <row r="1219" spans="2:10" hidden="1" x14ac:dyDescent="0.25">
      <c r="B1219"/>
      <c r="C1219"/>
      <c r="D1219"/>
      <c r="E1219"/>
      <c r="F1219"/>
      <c r="G1219"/>
      <c r="H1219"/>
      <c r="I1219"/>
      <c r="J1219"/>
    </row>
    <row r="1220" spans="2:10" hidden="1" x14ac:dyDescent="0.25">
      <c r="B1220"/>
      <c r="C1220"/>
      <c r="D1220"/>
      <c r="E1220"/>
      <c r="F1220"/>
      <c r="G1220"/>
      <c r="H1220"/>
      <c r="I1220"/>
      <c r="J1220"/>
    </row>
    <row r="1221" spans="2:10" hidden="1" x14ac:dyDescent="0.25">
      <c r="B1221"/>
      <c r="C1221"/>
      <c r="D1221"/>
      <c r="E1221"/>
      <c r="F1221"/>
      <c r="G1221"/>
      <c r="H1221"/>
      <c r="I1221"/>
      <c r="J1221"/>
    </row>
    <row r="1222" spans="2:10" hidden="1" x14ac:dyDescent="0.25">
      <c r="B1222"/>
      <c r="C1222"/>
      <c r="D1222"/>
      <c r="E1222"/>
      <c r="F1222"/>
      <c r="G1222"/>
      <c r="H1222"/>
      <c r="I1222"/>
      <c r="J1222"/>
    </row>
    <row r="1223" spans="2:10" hidden="1" x14ac:dyDescent="0.25">
      <c r="B1223"/>
      <c r="C1223"/>
      <c r="D1223"/>
      <c r="E1223"/>
      <c r="F1223"/>
      <c r="G1223"/>
      <c r="H1223"/>
      <c r="I1223"/>
      <c r="J1223"/>
    </row>
    <row r="1224" spans="2:10" hidden="1" x14ac:dyDescent="0.25">
      <c r="B1224"/>
      <c r="C1224"/>
      <c r="D1224"/>
      <c r="E1224"/>
      <c r="F1224"/>
      <c r="G1224"/>
      <c r="H1224"/>
      <c r="I1224"/>
      <c r="J1224"/>
    </row>
    <row r="1225" spans="2:10" hidden="1" x14ac:dyDescent="0.25">
      <c r="B1225"/>
      <c r="C1225"/>
      <c r="D1225"/>
      <c r="E1225"/>
      <c r="F1225"/>
      <c r="G1225"/>
      <c r="H1225"/>
      <c r="I1225"/>
      <c r="J1225"/>
    </row>
    <row r="1226" spans="2:10" hidden="1" x14ac:dyDescent="0.25">
      <c r="B1226"/>
      <c r="C1226"/>
      <c r="D1226"/>
      <c r="E1226"/>
      <c r="F1226"/>
      <c r="G1226"/>
      <c r="H1226"/>
      <c r="I1226"/>
      <c r="J1226"/>
    </row>
    <row r="1227" spans="2:10" hidden="1" x14ac:dyDescent="0.25">
      <c r="B1227"/>
      <c r="C1227"/>
      <c r="D1227"/>
      <c r="E1227"/>
      <c r="F1227"/>
      <c r="G1227"/>
      <c r="H1227"/>
      <c r="I1227"/>
      <c r="J1227"/>
    </row>
    <row r="1228" spans="2:10" hidden="1" x14ac:dyDescent="0.25">
      <c r="B1228"/>
      <c r="C1228"/>
      <c r="D1228"/>
      <c r="E1228"/>
      <c r="F1228"/>
      <c r="G1228"/>
      <c r="H1228"/>
      <c r="I1228"/>
      <c r="J1228"/>
    </row>
    <row r="1229" spans="2:10" hidden="1" x14ac:dyDescent="0.25">
      <c r="B1229"/>
      <c r="C1229"/>
      <c r="D1229"/>
      <c r="E1229"/>
      <c r="F1229"/>
      <c r="G1229"/>
      <c r="H1229"/>
      <c r="I1229"/>
      <c r="J1229"/>
    </row>
    <row r="1230" spans="2:10" hidden="1" x14ac:dyDescent="0.25">
      <c r="B1230"/>
      <c r="C1230"/>
      <c r="D1230"/>
      <c r="E1230"/>
      <c r="F1230"/>
      <c r="G1230"/>
      <c r="H1230"/>
      <c r="I1230"/>
      <c r="J1230"/>
    </row>
    <row r="1231" spans="2:10" hidden="1" x14ac:dyDescent="0.25">
      <c r="B1231"/>
      <c r="C1231"/>
      <c r="D1231"/>
      <c r="E1231"/>
      <c r="F1231"/>
      <c r="G1231"/>
      <c r="H1231"/>
      <c r="I1231"/>
      <c r="J1231"/>
    </row>
    <row r="1232" spans="2:10" hidden="1" x14ac:dyDescent="0.25">
      <c r="B1232"/>
      <c r="C1232"/>
      <c r="D1232"/>
      <c r="E1232"/>
      <c r="F1232"/>
      <c r="G1232"/>
      <c r="H1232"/>
      <c r="I1232"/>
      <c r="J1232"/>
    </row>
    <row r="1233" spans="2:10" hidden="1" x14ac:dyDescent="0.25">
      <c r="B1233"/>
      <c r="C1233"/>
      <c r="D1233"/>
      <c r="E1233"/>
      <c r="F1233"/>
      <c r="G1233"/>
      <c r="H1233"/>
      <c r="I1233"/>
      <c r="J1233"/>
    </row>
    <row r="1234" spans="2:10" hidden="1" x14ac:dyDescent="0.25">
      <c r="B1234"/>
      <c r="C1234"/>
      <c r="D1234"/>
      <c r="E1234"/>
      <c r="F1234"/>
      <c r="G1234"/>
      <c r="H1234"/>
      <c r="I1234"/>
      <c r="J1234"/>
    </row>
    <row r="1235" spans="2:10" hidden="1" x14ac:dyDescent="0.25">
      <c r="B1235"/>
      <c r="C1235"/>
      <c r="D1235"/>
      <c r="E1235"/>
      <c r="F1235"/>
      <c r="G1235"/>
      <c r="H1235"/>
      <c r="I1235"/>
      <c r="J1235"/>
    </row>
    <row r="1236" spans="2:10" hidden="1" x14ac:dyDescent="0.25">
      <c r="B1236"/>
      <c r="C1236"/>
      <c r="D1236"/>
      <c r="E1236"/>
      <c r="F1236"/>
      <c r="G1236"/>
      <c r="H1236"/>
      <c r="I1236"/>
      <c r="J1236"/>
    </row>
    <row r="1237" spans="2:10" hidden="1" x14ac:dyDescent="0.25">
      <c r="B1237"/>
      <c r="C1237"/>
      <c r="D1237"/>
      <c r="E1237"/>
      <c r="F1237"/>
      <c r="G1237"/>
      <c r="H1237"/>
      <c r="I1237"/>
      <c r="J1237"/>
    </row>
    <row r="1238" spans="2:10" hidden="1" x14ac:dyDescent="0.25">
      <c r="B1238"/>
      <c r="C1238"/>
      <c r="D1238"/>
      <c r="E1238"/>
      <c r="F1238"/>
      <c r="G1238"/>
      <c r="H1238"/>
      <c r="I1238"/>
      <c r="J1238"/>
    </row>
    <row r="1239" spans="2:10" hidden="1" x14ac:dyDescent="0.25">
      <c r="B1239"/>
      <c r="C1239"/>
      <c r="D1239"/>
      <c r="E1239"/>
      <c r="F1239"/>
      <c r="G1239"/>
      <c r="H1239"/>
      <c r="I1239"/>
      <c r="J1239"/>
    </row>
    <row r="1240" spans="2:10" hidden="1" x14ac:dyDescent="0.25">
      <c r="B1240"/>
      <c r="C1240"/>
      <c r="D1240"/>
      <c r="E1240"/>
      <c r="F1240"/>
      <c r="G1240"/>
      <c r="H1240"/>
      <c r="I1240"/>
      <c r="J1240"/>
    </row>
    <row r="1241" spans="2:10" hidden="1" x14ac:dyDescent="0.25">
      <c r="B1241"/>
      <c r="C1241"/>
      <c r="D1241"/>
      <c r="E1241"/>
      <c r="F1241"/>
      <c r="G1241"/>
      <c r="H1241"/>
      <c r="I1241"/>
      <c r="J1241"/>
    </row>
    <row r="1242" spans="2:10" hidden="1" x14ac:dyDescent="0.25">
      <c r="B1242"/>
      <c r="C1242"/>
      <c r="D1242"/>
      <c r="E1242"/>
      <c r="F1242"/>
      <c r="G1242"/>
      <c r="H1242"/>
      <c r="I1242"/>
      <c r="J1242"/>
    </row>
    <row r="1243" spans="2:10" hidden="1" x14ac:dyDescent="0.25">
      <c r="B1243"/>
      <c r="C1243"/>
      <c r="D1243"/>
      <c r="E1243"/>
      <c r="F1243"/>
      <c r="G1243"/>
      <c r="H1243"/>
      <c r="I1243"/>
      <c r="J1243"/>
    </row>
    <row r="1244" spans="2:10" hidden="1" x14ac:dyDescent="0.25">
      <c r="B1244"/>
      <c r="C1244"/>
      <c r="D1244"/>
      <c r="E1244"/>
      <c r="F1244"/>
      <c r="G1244"/>
      <c r="H1244"/>
      <c r="I1244"/>
      <c r="J1244"/>
    </row>
    <row r="1245" spans="2:10" hidden="1" x14ac:dyDescent="0.25">
      <c r="B1245"/>
      <c r="C1245"/>
      <c r="D1245"/>
      <c r="E1245"/>
      <c r="F1245"/>
      <c r="G1245"/>
      <c r="H1245"/>
      <c r="I1245"/>
      <c r="J1245"/>
    </row>
    <row r="1246" spans="2:10" hidden="1" x14ac:dyDescent="0.25">
      <c r="B1246"/>
      <c r="C1246"/>
      <c r="D1246"/>
      <c r="E1246"/>
      <c r="F1246"/>
      <c r="G1246"/>
      <c r="H1246"/>
      <c r="I1246"/>
      <c r="J1246"/>
    </row>
    <row r="1247" spans="2:10" hidden="1" x14ac:dyDescent="0.25">
      <c r="B1247"/>
      <c r="C1247"/>
      <c r="D1247"/>
      <c r="E1247"/>
      <c r="F1247"/>
      <c r="G1247"/>
      <c r="H1247"/>
      <c r="I1247"/>
      <c r="J1247"/>
    </row>
    <row r="1248" spans="2:10" hidden="1" x14ac:dyDescent="0.25">
      <c r="B1248"/>
      <c r="C1248"/>
      <c r="D1248"/>
      <c r="E1248"/>
      <c r="F1248"/>
      <c r="G1248"/>
      <c r="H1248"/>
      <c r="I1248"/>
      <c r="J1248"/>
    </row>
    <row r="1249" spans="2:10" hidden="1" x14ac:dyDescent="0.25">
      <c r="B1249"/>
      <c r="C1249"/>
      <c r="D1249"/>
      <c r="E1249"/>
      <c r="F1249"/>
      <c r="G1249"/>
      <c r="H1249"/>
      <c r="I1249"/>
      <c r="J1249"/>
    </row>
    <row r="1250" spans="2:10" hidden="1" x14ac:dyDescent="0.25">
      <c r="B1250"/>
      <c r="C1250"/>
      <c r="D1250"/>
      <c r="E1250"/>
      <c r="F1250"/>
      <c r="G1250"/>
      <c r="H1250"/>
      <c r="I1250"/>
      <c r="J1250"/>
    </row>
    <row r="1251" spans="2:10" hidden="1" x14ac:dyDescent="0.25">
      <c r="B1251"/>
      <c r="C1251"/>
      <c r="D1251"/>
      <c r="E1251"/>
      <c r="F1251"/>
      <c r="G1251"/>
      <c r="H1251"/>
      <c r="I1251"/>
      <c r="J1251"/>
    </row>
    <row r="1252" spans="2:10" hidden="1" x14ac:dyDescent="0.25">
      <c r="B1252"/>
      <c r="C1252"/>
      <c r="D1252"/>
      <c r="E1252"/>
      <c r="F1252"/>
      <c r="G1252"/>
      <c r="H1252"/>
      <c r="I1252"/>
      <c r="J1252"/>
    </row>
    <row r="1253" spans="2:10" hidden="1" x14ac:dyDescent="0.25">
      <c r="B1253"/>
      <c r="C1253"/>
      <c r="D1253"/>
      <c r="E1253"/>
      <c r="F1253"/>
      <c r="G1253"/>
      <c r="H1253"/>
      <c r="I1253"/>
      <c r="J1253"/>
    </row>
    <row r="1254" spans="2:10" hidden="1" x14ac:dyDescent="0.25">
      <c r="B1254"/>
      <c r="C1254"/>
      <c r="D1254"/>
      <c r="E1254"/>
      <c r="F1254"/>
      <c r="G1254"/>
      <c r="H1254"/>
      <c r="I1254"/>
      <c r="J1254"/>
    </row>
    <row r="1255" spans="2:10" hidden="1" x14ac:dyDescent="0.25">
      <c r="B1255"/>
      <c r="C1255"/>
      <c r="D1255"/>
      <c r="E1255"/>
      <c r="F1255"/>
      <c r="G1255"/>
      <c r="H1255"/>
      <c r="I1255"/>
      <c r="J1255"/>
    </row>
    <row r="1256" spans="2:10" hidden="1" x14ac:dyDescent="0.25">
      <c r="B1256"/>
      <c r="C1256"/>
      <c r="D1256"/>
      <c r="E1256"/>
      <c r="F1256"/>
      <c r="G1256"/>
      <c r="H1256"/>
      <c r="I1256"/>
      <c r="J1256"/>
    </row>
    <row r="1257" spans="2:10" hidden="1" x14ac:dyDescent="0.25">
      <c r="B1257"/>
      <c r="C1257"/>
      <c r="D1257"/>
      <c r="E1257"/>
      <c r="F1257"/>
      <c r="G1257"/>
      <c r="H1257"/>
      <c r="I1257"/>
      <c r="J1257"/>
    </row>
    <row r="1258" spans="2:10" hidden="1" x14ac:dyDescent="0.25">
      <c r="B1258"/>
      <c r="C1258"/>
      <c r="D1258"/>
      <c r="E1258"/>
      <c r="F1258"/>
      <c r="G1258"/>
      <c r="H1258"/>
      <c r="I1258"/>
      <c r="J1258"/>
    </row>
    <row r="1259" spans="2:10" hidden="1" x14ac:dyDescent="0.25">
      <c r="B1259"/>
      <c r="C1259"/>
      <c r="D1259"/>
      <c r="E1259"/>
      <c r="F1259"/>
      <c r="G1259"/>
      <c r="H1259"/>
      <c r="I1259"/>
      <c r="J1259"/>
    </row>
    <row r="1260" spans="2:10" hidden="1" x14ac:dyDescent="0.25">
      <c r="B1260"/>
      <c r="C1260"/>
      <c r="D1260"/>
      <c r="E1260"/>
      <c r="F1260"/>
      <c r="G1260"/>
      <c r="H1260"/>
      <c r="I1260"/>
      <c r="J1260"/>
    </row>
    <row r="1261" spans="2:10" hidden="1" x14ac:dyDescent="0.25">
      <c r="B1261"/>
      <c r="C1261"/>
      <c r="D1261"/>
      <c r="E1261"/>
      <c r="F1261"/>
      <c r="G1261"/>
      <c r="H1261"/>
      <c r="I1261"/>
      <c r="J1261"/>
    </row>
    <row r="1262" spans="2:10" hidden="1" x14ac:dyDescent="0.25">
      <c r="B1262"/>
      <c r="C1262"/>
      <c r="D1262"/>
      <c r="E1262"/>
      <c r="F1262"/>
      <c r="G1262"/>
      <c r="H1262"/>
      <c r="I1262"/>
      <c r="J1262"/>
    </row>
    <row r="1263" spans="2:10" hidden="1" x14ac:dyDescent="0.25">
      <c r="B1263"/>
      <c r="C1263"/>
      <c r="D1263"/>
      <c r="E1263"/>
      <c r="F1263"/>
      <c r="G1263"/>
      <c r="H1263"/>
      <c r="I1263"/>
      <c r="J1263"/>
    </row>
    <row r="1264" spans="2:10" hidden="1" x14ac:dyDescent="0.25">
      <c r="B1264"/>
      <c r="C1264"/>
      <c r="D1264"/>
      <c r="E1264"/>
      <c r="F1264"/>
      <c r="G1264"/>
      <c r="H1264"/>
      <c r="I1264"/>
      <c r="J1264"/>
    </row>
    <row r="1265" spans="2:10" hidden="1" x14ac:dyDescent="0.25">
      <c r="B1265"/>
      <c r="C1265"/>
      <c r="D1265"/>
      <c r="E1265"/>
      <c r="F1265"/>
      <c r="G1265"/>
      <c r="H1265"/>
      <c r="I1265"/>
      <c r="J1265"/>
    </row>
    <row r="1266" spans="2:10" hidden="1" x14ac:dyDescent="0.25">
      <c r="B1266"/>
      <c r="C1266"/>
      <c r="D1266"/>
      <c r="E1266"/>
      <c r="F1266"/>
      <c r="G1266"/>
      <c r="H1266"/>
      <c r="I1266"/>
      <c r="J1266"/>
    </row>
    <row r="1267" spans="2:10" hidden="1" x14ac:dyDescent="0.25">
      <c r="B1267"/>
      <c r="C1267"/>
      <c r="D1267"/>
      <c r="E1267"/>
      <c r="F1267"/>
      <c r="G1267"/>
      <c r="H1267"/>
      <c r="I1267"/>
      <c r="J1267"/>
    </row>
    <row r="1268" spans="2:10" hidden="1" x14ac:dyDescent="0.25">
      <c r="B1268"/>
      <c r="C1268"/>
      <c r="D1268"/>
      <c r="E1268"/>
      <c r="F1268"/>
      <c r="G1268"/>
      <c r="H1268"/>
      <c r="I1268"/>
      <c r="J1268"/>
    </row>
    <row r="1269" spans="2:10" hidden="1" x14ac:dyDescent="0.25">
      <c r="B1269"/>
      <c r="C1269"/>
      <c r="D1269"/>
      <c r="E1269"/>
      <c r="F1269"/>
      <c r="G1269"/>
      <c r="H1269"/>
      <c r="I1269"/>
      <c r="J1269"/>
    </row>
    <row r="1270" spans="2:10" hidden="1" x14ac:dyDescent="0.25">
      <c r="B1270"/>
      <c r="C1270"/>
      <c r="D1270"/>
      <c r="E1270"/>
      <c r="F1270"/>
      <c r="G1270"/>
      <c r="H1270"/>
      <c r="I1270"/>
      <c r="J1270"/>
    </row>
    <row r="1271" spans="2:10" hidden="1" x14ac:dyDescent="0.25">
      <c r="B1271"/>
      <c r="C1271"/>
      <c r="D1271"/>
      <c r="E1271"/>
      <c r="F1271"/>
      <c r="G1271"/>
      <c r="H1271"/>
      <c r="I1271"/>
      <c r="J1271"/>
    </row>
    <row r="1272" spans="2:10" hidden="1" x14ac:dyDescent="0.25">
      <c r="B1272"/>
      <c r="C1272"/>
      <c r="D1272"/>
      <c r="E1272"/>
      <c r="F1272"/>
      <c r="G1272"/>
      <c r="H1272"/>
      <c r="I1272"/>
      <c r="J1272"/>
    </row>
    <row r="1273" spans="2:10" hidden="1" x14ac:dyDescent="0.25">
      <c r="B1273"/>
      <c r="C1273"/>
      <c r="D1273"/>
      <c r="E1273"/>
      <c r="F1273"/>
      <c r="G1273"/>
      <c r="H1273"/>
      <c r="I1273"/>
      <c r="J1273"/>
    </row>
    <row r="1274" spans="2:10" hidden="1" x14ac:dyDescent="0.25">
      <c r="B1274"/>
      <c r="C1274"/>
      <c r="D1274"/>
      <c r="E1274"/>
      <c r="F1274"/>
      <c r="G1274"/>
      <c r="H1274"/>
      <c r="I1274"/>
      <c r="J1274"/>
    </row>
    <row r="1275" spans="2:10" hidden="1" x14ac:dyDescent="0.25">
      <c r="B1275"/>
      <c r="C1275"/>
      <c r="D1275"/>
      <c r="E1275"/>
      <c r="F1275"/>
      <c r="G1275"/>
      <c r="H1275"/>
      <c r="I1275"/>
      <c r="J1275"/>
    </row>
    <row r="1276" spans="2:10" hidden="1" x14ac:dyDescent="0.25">
      <c r="B1276"/>
      <c r="C1276"/>
      <c r="D1276"/>
      <c r="E1276"/>
      <c r="F1276"/>
      <c r="G1276"/>
      <c r="H1276"/>
      <c r="I1276"/>
      <c r="J1276"/>
    </row>
    <row r="1277" spans="2:10" hidden="1" x14ac:dyDescent="0.25">
      <c r="B1277"/>
      <c r="C1277"/>
      <c r="D1277"/>
      <c r="E1277"/>
      <c r="F1277"/>
      <c r="G1277"/>
      <c r="H1277"/>
      <c r="I1277"/>
      <c r="J1277"/>
    </row>
    <row r="1278" spans="2:10" hidden="1" x14ac:dyDescent="0.25">
      <c r="B1278"/>
      <c r="C1278"/>
      <c r="D1278"/>
      <c r="E1278"/>
      <c r="F1278"/>
      <c r="G1278"/>
      <c r="H1278"/>
      <c r="I1278"/>
      <c r="J1278"/>
    </row>
    <row r="1279" spans="2:10" hidden="1" x14ac:dyDescent="0.25">
      <c r="B1279"/>
      <c r="C1279"/>
      <c r="D1279"/>
      <c r="E1279"/>
      <c r="F1279"/>
      <c r="G1279"/>
      <c r="H1279"/>
      <c r="I1279"/>
      <c r="J1279"/>
    </row>
    <row r="1280" spans="2:10" hidden="1" x14ac:dyDescent="0.25">
      <c r="B1280"/>
      <c r="C1280"/>
      <c r="D1280"/>
      <c r="E1280"/>
      <c r="F1280"/>
      <c r="G1280"/>
      <c r="H1280"/>
      <c r="I1280"/>
      <c r="J1280"/>
    </row>
    <row r="1281" spans="2:10" hidden="1" x14ac:dyDescent="0.25">
      <c r="B1281"/>
      <c r="C1281"/>
      <c r="D1281"/>
      <c r="E1281"/>
      <c r="F1281"/>
      <c r="G1281"/>
      <c r="H1281"/>
      <c r="I1281"/>
      <c r="J1281"/>
    </row>
    <row r="1282" spans="2:10" hidden="1" x14ac:dyDescent="0.25">
      <c r="B1282"/>
      <c r="C1282"/>
      <c r="D1282"/>
      <c r="E1282"/>
      <c r="F1282"/>
      <c r="G1282"/>
      <c r="H1282"/>
      <c r="I1282"/>
      <c r="J1282"/>
    </row>
    <row r="1283" spans="2:10" hidden="1" x14ac:dyDescent="0.25">
      <c r="B1283"/>
      <c r="C1283"/>
      <c r="D1283"/>
      <c r="E1283"/>
      <c r="F1283"/>
      <c r="G1283"/>
      <c r="H1283"/>
      <c r="I1283"/>
      <c r="J1283"/>
    </row>
    <row r="1284" spans="2:10" hidden="1" x14ac:dyDescent="0.25">
      <c r="B1284"/>
      <c r="C1284"/>
      <c r="D1284"/>
      <c r="E1284"/>
      <c r="F1284"/>
      <c r="G1284"/>
      <c r="H1284"/>
      <c r="I1284"/>
      <c r="J1284"/>
    </row>
    <row r="1285" spans="2:10" hidden="1" x14ac:dyDescent="0.25">
      <c r="B1285"/>
      <c r="C1285"/>
      <c r="D1285"/>
      <c r="E1285"/>
      <c r="F1285"/>
      <c r="G1285"/>
      <c r="H1285"/>
      <c r="I1285"/>
      <c r="J1285"/>
    </row>
    <row r="1286" spans="2:10" hidden="1" x14ac:dyDescent="0.25">
      <c r="B1286"/>
      <c r="C1286"/>
      <c r="D1286"/>
      <c r="E1286"/>
      <c r="F1286"/>
      <c r="G1286"/>
      <c r="H1286"/>
      <c r="I1286"/>
      <c r="J1286"/>
    </row>
    <row r="1287" spans="2:10" hidden="1" x14ac:dyDescent="0.25">
      <c r="B1287"/>
      <c r="C1287"/>
      <c r="D1287"/>
      <c r="E1287"/>
      <c r="F1287"/>
      <c r="G1287"/>
      <c r="H1287"/>
      <c r="I1287"/>
      <c r="J1287"/>
    </row>
    <row r="1288" spans="2:10" hidden="1" x14ac:dyDescent="0.25">
      <c r="B1288"/>
      <c r="C1288"/>
      <c r="D1288"/>
      <c r="E1288"/>
      <c r="F1288"/>
      <c r="G1288"/>
      <c r="H1288"/>
      <c r="I1288"/>
      <c r="J1288"/>
    </row>
    <row r="1289" spans="2:10" hidden="1" x14ac:dyDescent="0.25">
      <c r="B1289"/>
      <c r="C1289"/>
      <c r="D1289"/>
      <c r="E1289"/>
      <c r="F1289"/>
      <c r="G1289"/>
      <c r="H1289"/>
      <c r="I1289"/>
      <c r="J1289"/>
    </row>
    <row r="1290" spans="2:10" hidden="1" x14ac:dyDescent="0.25">
      <c r="B1290"/>
      <c r="C1290"/>
      <c r="D1290"/>
      <c r="E1290"/>
      <c r="F1290"/>
      <c r="G1290"/>
      <c r="H1290"/>
      <c r="I1290"/>
      <c r="J1290"/>
    </row>
    <row r="1291" spans="2:10" hidden="1" x14ac:dyDescent="0.25">
      <c r="B1291"/>
      <c r="C1291"/>
      <c r="D1291"/>
      <c r="E1291"/>
      <c r="F1291"/>
      <c r="G1291"/>
      <c r="H1291"/>
      <c r="I1291"/>
      <c r="J1291"/>
    </row>
    <row r="1292" spans="2:10" hidden="1" x14ac:dyDescent="0.25">
      <c r="B1292"/>
      <c r="C1292"/>
      <c r="D1292"/>
      <c r="E1292"/>
      <c r="F1292"/>
      <c r="G1292"/>
      <c r="H1292"/>
      <c r="I1292"/>
      <c r="J1292"/>
    </row>
    <row r="1293" spans="2:10" hidden="1" x14ac:dyDescent="0.25">
      <c r="B1293"/>
      <c r="C1293"/>
      <c r="D1293"/>
      <c r="E1293"/>
      <c r="F1293"/>
      <c r="G1293"/>
      <c r="H1293"/>
      <c r="I1293"/>
      <c r="J1293"/>
    </row>
    <row r="1294" spans="2:10" hidden="1" x14ac:dyDescent="0.25">
      <c r="B1294"/>
      <c r="C1294"/>
      <c r="D1294"/>
      <c r="E1294"/>
      <c r="F1294"/>
      <c r="G1294"/>
      <c r="H1294"/>
      <c r="I1294"/>
      <c r="J1294"/>
    </row>
    <row r="1295" spans="2:10" hidden="1" x14ac:dyDescent="0.25">
      <c r="B1295"/>
      <c r="C1295"/>
      <c r="D1295"/>
      <c r="E1295"/>
      <c r="F1295"/>
      <c r="G1295"/>
      <c r="H1295"/>
      <c r="I1295"/>
      <c r="J1295"/>
    </row>
    <row r="1296" spans="2:10" hidden="1" x14ac:dyDescent="0.25">
      <c r="B1296"/>
      <c r="C1296"/>
      <c r="D1296"/>
      <c r="E1296"/>
      <c r="F1296"/>
      <c r="G1296"/>
      <c r="H1296"/>
      <c r="I1296"/>
      <c r="J1296"/>
    </row>
    <row r="1297" spans="2:10" hidden="1" x14ac:dyDescent="0.25">
      <c r="B1297"/>
      <c r="C1297"/>
      <c r="D1297"/>
      <c r="E1297"/>
      <c r="F1297"/>
      <c r="G1297"/>
      <c r="H1297"/>
      <c r="I1297"/>
      <c r="J1297"/>
    </row>
    <row r="1298" spans="2:10" hidden="1" x14ac:dyDescent="0.25">
      <c r="B1298"/>
      <c r="C1298"/>
      <c r="D1298"/>
      <c r="E1298"/>
      <c r="F1298"/>
      <c r="G1298"/>
      <c r="H1298"/>
      <c r="I1298"/>
      <c r="J1298"/>
    </row>
    <row r="1299" spans="2:10" hidden="1" x14ac:dyDescent="0.25">
      <c r="B1299"/>
      <c r="C1299"/>
      <c r="D1299"/>
      <c r="E1299"/>
      <c r="F1299"/>
      <c r="G1299"/>
      <c r="H1299"/>
      <c r="I1299"/>
      <c r="J1299"/>
    </row>
    <row r="1300" spans="2:10" hidden="1" x14ac:dyDescent="0.25">
      <c r="B1300"/>
      <c r="C1300"/>
      <c r="D1300"/>
      <c r="E1300"/>
      <c r="F1300"/>
      <c r="G1300"/>
      <c r="H1300"/>
      <c r="I1300"/>
      <c r="J1300"/>
    </row>
    <row r="1301" spans="2:10" hidden="1" x14ac:dyDescent="0.25">
      <c r="B1301"/>
      <c r="C1301"/>
      <c r="D1301"/>
      <c r="E1301"/>
      <c r="F1301"/>
      <c r="G1301"/>
      <c r="H1301"/>
      <c r="I1301"/>
      <c r="J1301"/>
    </row>
    <row r="1302" spans="2:10" hidden="1" x14ac:dyDescent="0.25">
      <c r="B1302"/>
      <c r="C1302"/>
      <c r="D1302"/>
      <c r="E1302"/>
      <c r="F1302"/>
      <c r="G1302"/>
      <c r="H1302"/>
      <c r="I1302"/>
      <c r="J1302"/>
    </row>
    <row r="1303" spans="2:10" hidden="1" x14ac:dyDescent="0.25">
      <c r="B1303"/>
      <c r="C1303"/>
      <c r="D1303"/>
      <c r="E1303"/>
      <c r="F1303"/>
      <c r="G1303"/>
      <c r="H1303"/>
      <c r="I1303"/>
      <c r="J1303"/>
    </row>
    <row r="1304" spans="2:10" hidden="1" x14ac:dyDescent="0.25">
      <c r="B1304"/>
      <c r="C1304"/>
      <c r="D1304"/>
      <c r="E1304"/>
      <c r="F1304"/>
      <c r="G1304"/>
      <c r="H1304"/>
      <c r="I1304"/>
      <c r="J1304"/>
    </row>
    <row r="1305" spans="2:10" hidden="1" x14ac:dyDescent="0.25">
      <c r="B1305"/>
      <c r="C1305"/>
      <c r="D1305"/>
      <c r="E1305"/>
      <c r="F1305"/>
      <c r="G1305"/>
      <c r="H1305"/>
      <c r="I1305"/>
      <c r="J1305"/>
    </row>
    <row r="1306" spans="2:10" hidden="1" x14ac:dyDescent="0.25">
      <c r="B1306"/>
      <c r="C1306"/>
      <c r="D1306"/>
      <c r="E1306"/>
      <c r="F1306"/>
      <c r="G1306"/>
      <c r="H1306"/>
      <c r="I1306"/>
      <c r="J1306"/>
    </row>
    <row r="1307" spans="2:10" hidden="1" x14ac:dyDescent="0.25">
      <c r="B1307"/>
      <c r="C1307"/>
      <c r="D1307"/>
      <c r="E1307"/>
      <c r="F1307"/>
      <c r="G1307"/>
      <c r="H1307"/>
      <c r="I1307"/>
      <c r="J1307"/>
    </row>
    <row r="1308" spans="2:10" hidden="1" x14ac:dyDescent="0.25">
      <c r="B1308"/>
      <c r="C1308"/>
      <c r="D1308"/>
      <c r="E1308"/>
      <c r="F1308"/>
      <c r="G1308"/>
      <c r="H1308"/>
      <c r="I1308"/>
      <c r="J1308"/>
    </row>
    <row r="1309" spans="2:10" hidden="1" x14ac:dyDescent="0.25">
      <c r="B1309"/>
      <c r="C1309"/>
      <c r="D1309"/>
      <c r="E1309"/>
      <c r="F1309"/>
      <c r="G1309"/>
      <c r="H1309"/>
      <c r="I1309"/>
      <c r="J1309"/>
    </row>
    <row r="1310" spans="2:10" hidden="1" x14ac:dyDescent="0.25">
      <c r="B1310"/>
      <c r="C1310"/>
      <c r="D1310"/>
      <c r="E1310"/>
      <c r="F1310"/>
      <c r="G1310"/>
      <c r="H1310"/>
      <c r="I1310"/>
      <c r="J1310"/>
    </row>
    <row r="1311" spans="2:10" hidden="1" x14ac:dyDescent="0.25">
      <c r="B1311"/>
      <c r="C1311"/>
      <c r="D1311"/>
      <c r="E1311"/>
      <c r="F1311"/>
      <c r="G1311"/>
      <c r="H1311"/>
      <c r="I1311"/>
      <c r="J1311"/>
    </row>
    <row r="1312" spans="2:10" hidden="1" x14ac:dyDescent="0.25">
      <c r="B1312"/>
      <c r="C1312"/>
      <c r="D1312"/>
      <c r="E1312"/>
      <c r="F1312"/>
      <c r="G1312"/>
      <c r="H1312"/>
      <c r="I1312"/>
      <c r="J1312"/>
    </row>
    <row r="1313" spans="2:10" hidden="1" x14ac:dyDescent="0.25">
      <c r="B1313"/>
      <c r="C1313"/>
      <c r="D1313"/>
      <c r="E1313"/>
      <c r="F1313"/>
      <c r="G1313"/>
      <c r="H1313"/>
      <c r="I1313"/>
      <c r="J1313"/>
    </row>
    <row r="1314" spans="2:10" hidden="1" x14ac:dyDescent="0.25">
      <c r="B1314"/>
      <c r="C1314"/>
      <c r="D1314"/>
      <c r="E1314"/>
      <c r="F1314"/>
      <c r="G1314"/>
      <c r="H1314"/>
      <c r="I1314"/>
      <c r="J1314"/>
    </row>
    <row r="1315" spans="2:10" hidden="1" x14ac:dyDescent="0.25">
      <c r="B1315"/>
      <c r="C1315"/>
      <c r="D1315"/>
      <c r="E1315"/>
      <c r="F1315"/>
      <c r="G1315"/>
      <c r="H1315"/>
      <c r="I1315"/>
      <c r="J1315"/>
    </row>
    <row r="1316" spans="2:10" hidden="1" x14ac:dyDescent="0.25">
      <c r="B1316"/>
      <c r="C1316"/>
      <c r="D1316"/>
      <c r="E1316"/>
      <c r="F1316"/>
      <c r="G1316"/>
      <c r="H1316"/>
      <c r="I1316"/>
      <c r="J1316"/>
    </row>
    <row r="1317" spans="2:10" hidden="1" x14ac:dyDescent="0.25">
      <c r="B1317"/>
      <c r="C1317"/>
      <c r="D1317"/>
      <c r="E1317"/>
      <c r="F1317"/>
      <c r="G1317"/>
      <c r="H1317"/>
      <c r="I1317"/>
      <c r="J1317"/>
    </row>
    <row r="1318" spans="2:10" hidden="1" x14ac:dyDescent="0.25">
      <c r="B1318"/>
      <c r="C1318"/>
      <c r="D1318"/>
      <c r="E1318"/>
      <c r="F1318"/>
      <c r="G1318"/>
      <c r="H1318"/>
      <c r="I1318"/>
      <c r="J1318"/>
    </row>
    <row r="1319" spans="2:10" hidden="1" x14ac:dyDescent="0.25">
      <c r="B1319"/>
      <c r="C1319"/>
      <c r="D1319"/>
      <c r="E1319"/>
      <c r="F1319"/>
      <c r="G1319"/>
      <c r="H1319"/>
      <c r="I1319"/>
      <c r="J1319"/>
    </row>
    <row r="1320" spans="2:10" hidden="1" x14ac:dyDescent="0.25">
      <c r="B1320"/>
      <c r="C1320"/>
      <c r="D1320"/>
      <c r="E1320"/>
      <c r="F1320"/>
      <c r="G1320"/>
      <c r="H1320"/>
      <c r="I1320"/>
      <c r="J1320"/>
    </row>
    <row r="1321" spans="2:10" hidden="1" x14ac:dyDescent="0.25">
      <c r="B1321"/>
      <c r="C1321"/>
      <c r="D1321"/>
      <c r="E1321"/>
      <c r="F1321"/>
      <c r="G1321"/>
      <c r="H1321"/>
      <c r="I1321"/>
      <c r="J1321"/>
    </row>
    <row r="1322" spans="2:10" hidden="1" x14ac:dyDescent="0.25">
      <c r="B1322"/>
      <c r="C1322"/>
      <c r="D1322"/>
      <c r="E1322"/>
      <c r="F1322"/>
      <c r="G1322"/>
      <c r="H1322"/>
      <c r="I1322"/>
      <c r="J1322"/>
    </row>
    <row r="1323" spans="2:10" hidden="1" x14ac:dyDescent="0.25">
      <c r="B1323"/>
      <c r="C1323"/>
      <c r="D1323"/>
      <c r="E1323"/>
      <c r="F1323"/>
      <c r="G1323"/>
      <c r="H1323"/>
      <c r="I1323"/>
      <c r="J1323"/>
    </row>
    <row r="1324" spans="2:10" hidden="1" x14ac:dyDescent="0.25">
      <c r="B1324"/>
      <c r="C1324"/>
      <c r="D1324"/>
      <c r="E1324"/>
      <c r="F1324"/>
      <c r="G1324"/>
      <c r="H1324"/>
      <c r="I1324"/>
      <c r="J1324"/>
    </row>
    <row r="1325" spans="2:10" hidden="1" x14ac:dyDescent="0.25">
      <c r="B1325"/>
      <c r="C1325"/>
      <c r="D1325"/>
      <c r="E1325"/>
      <c r="F1325"/>
      <c r="G1325"/>
      <c r="H1325"/>
      <c r="I1325"/>
      <c r="J1325"/>
    </row>
    <row r="1326" spans="2:10" hidden="1" x14ac:dyDescent="0.25">
      <c r="B1326"/>
      <c r="C1326"/>
      <c r="D1326"/>
      <c r="E1326"/>
      <c r="F1326"/>
      <c r="G1326"/>
      <c r="H1326"/>
      <c r="I1326"/>
      <c r="J1326"/>
    </row>
    <row r="1327" spans="2:10" hidden="1" x14ac:dyDescent="0.25">
      <c r="B1327"/>
      <c r="C1327"/>
      <c r="D1327"/>
      <c r="E1327"/>
      <c r="F1327"/>
      <c r="G1327"/>
      <c r="H1327"/>
      <c r="I1327"/>
      <c r="J1327"/>
    </row>
    <row r="1328" spans="2:10" hidden="1" x14ac:dyDescent="0.25">
      <c r="B1328"/>
      <c r="C1328"/>
      <c r="D1328"/>
      <c r="E1328"/>
      <c r="F1328"/>
      <c r="G1328"/>
      <c r="H1328"/>
      <c r="I1328"/>
      <c r="J1328"/>
    </row>
    <row r="1329" spans="2:10" hidden="1" x14ac:dyDescent="0.25">
      <c r="B1329"/>
      <c r="C1329"/>
      <c r="D1329"/>
      <c r="E1329"/>
      <c r="F1329"/>
      <c r="G1329"/>
      <c r="H1329"/>
      <c r="I1329"/>
      <c r="J1329"/>
    </row>
    <row r="1330" spans="2:10" hidden="1" x14ac:dyDescent="0.25">
      <c r="B1330"/>
      <c r="C1330"/>
      <c r="D1330"/>
      <c r="E1330"/>
      <c r="F1330"/>
      <c r="G1330"/>
      <c r="H1330"/>
      <c r="I1330"/>
      <c r="J1330"/>
    </row>
    <row r="1331" spans="2:10" hidden="1" x14ac:dyDescent="0.25">
      <c r="B1331"/>
      <c r="C1331"/>
      <c r="D1331"/>
      <c r="E1331"/>
      <c r="F1331"/>
      <c r="G1331"/>
      <c r="H1331"/>
      <c r="I1331"/>
      <c r="J1331"/>
    </row>
    <row r="1332" spans="2:10" hidden="1" x14ac:dyDescent="0.25">
      <c r="B1332"/>
      <c r="C1332"/>
      <c r="D1332"/>
      <c r="E1332"/>
      <c r="F1332"/>
      <c r="G1332"/>
      <c r="H1332"/>
      <c r="I1332"/>
      <c r="J1332"/>
    </row>
    <row r="1333" spans="2:10" hidden="1" x14ac:dyDescent="0.25">
      <c r="B1333"/>
      <c r="C1333"/>
      <c r="D1333"/>
      <c r="E1333"/>
      <c r="F1333"/>
      <c r="G1333"/>
      <c r="H1333"/>
      <c r="I1333"/>
      <c r="J1333"/>
    </row>
    <row r="1334" spans="2:10" hidden="1" x14ac:dyDescent="0.25">
      <c r="B1334"/>
      <c r="C1334"/>
      <c r="D1334"/>
      <c r="E1334"/>
      <c r="F1334"/>
      <c r="G1334"/>
      <c r="H1334"/>
      <c r="I1334"/>
      <c r="J1334"/>
    </row>
    <row r="1335" spans="2:10" hidden="1" x14ac:dyDescent="0.25">
      <c r="B1335"/>
      <c r="C1335"/>
      <c r="D1335"/>
      <c r="E1335"/>
      <c r="F1335"/>
      <c r="G1335"/>
      <c r="H1335"/>
      <c r="I1335"/>
      <c r="J1335"/>
    </row>
    <row r="1336" spans="2:10" hidden="1" x14ac:dyDescent="0.25">
      <c r="B1336"/>
      <c r="C1336"/>
      <c r="D1336"/>
      <c r="E1336"/>
      <c r="F1336"/>
      <c r="G1336"/>
      <c r="H1336"/>
      <c r="I1336"/>
      <c r="J1336"/>
    </row>
    <row r="1337" spans="2:10" hidden="1" x14ac:dyDescent="0.25">
      <c r="B1337"/>
      <c r="C1337"/>
      <c r="D1337"/>
      <c r="E1337"/>
      <c r="F1337"/>
      <c r="G1337"/>
      <c r="H1337"/>
      <c r="I1337"/>
      <c r="J1337"/>
    </row>
    <row r="1338" spans="2:10" hidden="1" x14ac:dyDescent="0.25">
      <c r="B1338"/>
      <c r="C1338"/>
      <c r="D1338"/>
      <c r="E1338"/>
      <c r="F1338"/>
      <c r="G1338"/>
      <c r="H1338"/>
      <c r="I1338"/>
      <c r="J1338"/>
    </row>
    <row r="1339" spans="2:10" hidden="1" x14ac:dyDescent="0.25">
      <c r="B1339"/>
      <c r="C1339"/>
      <c r="D1339"/>
      <c r="E1339"/>
      <c r="F1339"/>
      <c r="G1339"/>
      <c r="H1339"/>
      <c r="I1339"/>
      <c r="J1339"/>
    </row>
    <row r="1340" spans="2:10" hidden="1" x14ac:dyDescent="0.25">
      <c r="B1340"/>
      <c r="C1340"/>
      <c r="D1340"/>
      <c r="E1340"/>
      <c r="F1340"/>
      <c r="G1340"/>
      <c r="H1340"/>
      <c r="I1340"/>
      <c r="J1340"/>
    </row>
    <row r="1341" spans="2:10" hidden="1" x14ac:dyDescent="0.25">
      <c r="B1341"/>
      <c r="C1341"/>
      <c r="D1341"/>
      <c r="E1341"/>
      <c r="F1341"/>
      <c r="G1341"/>
      <c r="H1341"/>
      <c r="I1341"/>
      <c r="J1341"/>
    </row>
    <row r="1342" spans="2:10" hidden="1" x14ac:dyDescent="0.25">
      <c r="B1342"/>
      <c r="C1342"/>
      <c r="D1342"/>
      <c r="E1342"/>
      <c r="F1342"/>
      <c r="G1342"/>
      <c r="H1342"/>
      <c r="I1342"/>
      <c r="J1342"/>
    </row>
    <row r="1343" spans="2:10" hidden="1" x14ac:dyDescent="0.25">
      <c r="B1343"/>
      <c r="C1343"/>
      <c r="D1343"/>
      <c r="E1343"/>
      <c r="F1343"/>
      <c r="G1343"/>
      <c r="H1343"/>
      <c r="I1343"/>
      <c r="J1343"/>
    </row>
    <row r="1344" spans="2:10" hidden="1" x14ac:dyDescent="0.25">
      <c r="B1344"/>
      <c r="C1344"/>
      <c r="D1344"/>
      <c r="E1344"/>
      <c r="F1344"/>
      <c r="G1344"/>
      <c r="H1344"/>
      <c r="I1344"/>
      <c r="J1344"/>
    </row>
    <row r="1345" spans="2:10" hidden="1" x14ac:dyDescent="0.25">
      <c r="B1345"/>
      <c r="C1345"/>
      <c r="D1345"/>
      <c r="E1345"/>
      <c r="F1345"/>
      <c r="G1345"/>
      <c r="H1345"/>
      <c r="I1345"/>
      <c r="J1345"/>
    </row>
    <row r="1346" spans="2:10" hidden="1" x14ac:dyDescent="0.25">
      <c r="B1346"/>
      <c r="C1346"/>
      <c r="D1346"/>
      <c r="E1346"/>
      <c r="F1346"/>
      <c r="G1346"/>
      <c r="H1346"/>
      <c r="I1346"/>
      <c r="J1346"/>
    </row>
    <row r="1347" spans="2:10" hidden="1" x14ac:dyDescent="0.25">
      <c r="B1347"/>
      <c r="C1347"/>
      <c r="D1347"/>
      <c r="E1347"/>
      <c r="F1347"/>
      <c r="G1347"/>
      <c r="H1347"/>
      <c r="I1347"/>
      <c r="J1347"/>
    </row>
    <row r="1348" spans="2:10" hidden="1" x14ac:dyDescent="0.25">
      <c r="B1348"/>
      <c r="C1348"/>
      <c r="D1348"/>
      <c r="E1348"/>
      <c r="F1348"/>
      <c r="G1348"/>
      <c r="H1348"/>
      <c r="I1348"/>
      <c r="J1348"/>
    </row>
    <row r="1349" spans="2:10" hidden="1" x14ac:dyDescent="0.25">
      <c r="B1349"/>
      <c r="C1349"/>
      <c r="D1349"/>
      <c r="E1349"/>
      <c r="F1349"/>
      <c r="G1349"/>
      <c r="H1349"/>
      <c r="I1349"/>
      <c r="J1349"/>
    </row>
    <row r="1350" spans="2:10" hidden="1" x14ac:dyDescent="0.25">
      <c r="B1350"/>
      <c r="C1350"/>
      <c r="D1350"/>
      <c r="E1350"/>
      <c r="F1350"/>
      <c r="G1350"/>
      <c r="H1350"/>
      <c r="I1350"/>
      <c r="J1350"/>
    </row>
    <row r="1351" spans="2:10" hidden="1" x14ac:dyDescent="0.25">
      <c r="B1351"/>
      <c r="C1351"/>
      <c r="D1351"/>
      <c r="E1351"/>
      <c r="F1351"/>
      <c r="G1351"/>
      <c r="H1351"/>
      <c r="I1351"/>
      <c r="J1351"/>
    </row>
    <row r="1352" spans="2:10" hidden="1" x14ac:dyDescent="0.25">
      <c r="B1352"/>
      <c r="C1352"/>
      <c r="D1352"/>
      <c r="E1352"/>
      <c r="F1352"/>
      <c r="G1352"/>
      <c r="H1352"/>
      <c r="I1352"/>
      <c r="J1352"/>
    </row>
    <row r="1353" spans="2:10" hidden="1" x14ac:dyDescent="0.25">
      <c r="B1353"/>
      <c r="C1353"/>
      <c r="D1353"/>
      <c r="E1353"/>
      <c r="F1353"/>
      <c r="G1353"/>
      <c r="H1353"/>
      <c r="I1353"/>
      <c r="J1353"/>
    </row>
    <row r="1354" spans="2:10" hidden="1" x14ac:dyDescent="0.25">
      <c r="B1354"/>
      <c r="C1354"/>
      <c r="D1354"/>
      <c r="E1354"/>
      <c r="F1354"/>
      <c r="G1354"/>
      <c r="H1354"/>
      <c r="I1354"/>
      <c r="J1354"/>
    </row>
    <row r="1355" spans="2:10" hidden="1" x14ac:dyDescent="0.25">
      <c r="B1355"/>
      <c r="C1355"/>
      <c r="D1355"/>
      <c r="E1355"/>
      <c r="F1355"/>
      <c r="G1355"/>
      <c r="H1355"/>
      <c r="I1355"/>
      <c r="J1355"/>
    </row>
    <row r="1356" spans="2:10" hidden="1" x14ac:dyDescent="0.25">
      <c r="B1356"/>
      <c r="C1356"/>
      <c r="D1356"/>
      <c r="E1356"/>
      <c r="F1356"/>
      <c r="G1356"/>
      <c r="H1356"/>
      <c r="I1356"/>
      <c r="J1356"/>
    </row>
    <row r="1357" spans="2:10" hidden="1" x14ac:dyDescent="0.25">
      <c r="B1357"/>
      <c r="C1357"/>
      <c r="D1357"/>
      <c r="E1357"/>
      <c r="F1357"/>
      <c r="G1357"/>
      <c r="H1357"/>
      <c r="I1357"/>
      <c r="J1357"/>
    </row>
    <row r="1358" spans="2:10" hidden="1" x14ac:dyDescent="0.25">
      <c r="B1358"/>
      <c r="C1358"/>
      <c r="D1358"/>
      <c r="E1358"/>
      <c r="F1358"/>
      <c r="G1358"/>
      <c r="H1358"/>
      <c r="I1358"/>
      <c r="J1358"/>
    </row>
    <row r="1359" spans="2:10" hidden="1" x14ac:dyDescent="0.25">
      <c r="B1359"/>
      <c r="C1359"/>
      <c r="D1359"/>
      <c r="E1359"/>
      <c r="F1359"/>
      <c r="G1359"/>
      <c r="H1359"/>
      <c r="I1359"/>
      <c r="J1359"/>
    </row>
    <row r="1360" spans="2:10" hidden="1" x14ac:dyDescent="0.25">
      <c r="B1360"/>
      <c r="C1360"/>
      <c r="D1360"/>
      <c r="E1360"/>
      <c r="F1360"/>
      <c r="G1360"/>
      <c r="H1360"/>
      <c r="I1360"/>
      <c r="J1360"/>
    </row>
    <row r="1361" spans="2:10" hidden="1" x14ac:dyDescent="0.25">
      <c r="B1361"/>
      <c r="C1361"/>
      <c r="D1361"/>
      <c r="E1361"/>
      <c r="F1361"/>
      <c r="G1361"/>
      <c r="H1361"/>
      <c r="I1361"/>
      <c r="J1361"/>
    </row>
    <row r="1362" spans="2:10" hidden="1" x14ac:dyDescent="0.25">
      <c r="B1362"/>
      <c r="C1362"/>
      <c r="D1362"/>
      <c r="E1362"/>
      <c r="F1362"/>
      <c r="G1362"/>
      <c r="H1362"/>
      <c r="I1362"/>
      <c r="J1362"/>
    </row>
    <row r="1363" spans="2:10" hidden="1" x14ac:dyDescent="0.25">
      <c r="B1363"/>
      <c r="C1363"/>
      <c r="D1363"/>
      <c r="E1363"/>
      <c r="F1363"/>
      <c r="G1363"/>
      <c r="H1363"/>
      <c r="I1363"/>
      <c r="J1363"/>
    </row>
    <row r="1364" spans="2:10" hidden="1" x14ac:dyDescent="0.25">
      <c r="B1364"/>
      <c r="C1364"/>
      <c r="D1364"/>
      <c r="E1364"/>
      <c r="F1364"/>
      <c r="G1364"/>
      <c r="H1364"/>
      <c r="I1364"/>
      <c r="J1364"/>
    </row>
    <row r="1365" spans="2:10" hidden="1" x14ac:dyDescent="0.25">
      <c r="B1365"/>
      <c r="C1365"/>
      <c r="D1365"/>
      <c r="E1365"/>
      <c r="F1365"/>
      <c r="G1365"/>
      <c r="H1365"/>
      <c r="I1365"/>
      <c r="J1365"/>
    </row>
    <row r="1366" spans="2:10" hidden="1" x14ac:dyDescent="0.25">
      <c r="B1366"/>
      <c r="C1366"/>
      <c r="D1366"/>
      <c r="E1366"/>
      <c r="F1366"/>
      <c r="G1366"/>
      <c r="H1366"/>
      <c r="I1366"/>
      <c r="J1366"/>
    </row>
    <row r="1367" spans="2:10" hidden="1" x14ac:dyDescent="0.25">
      <c r="B1367"/>
      <c r="C1367"/>
      <c r="D1367"/>
      <c r="E1367"/>
      <c r="F1367"/>
      <c r="G1367"/>
      <c r="H1367"/>
      <c r="I1367"/>
      <c r="J1367"/>
    </row>
    <row r="1368" spans="2:10" hidden="1" x14ac:dyDescent="0.25">
      <c r="B1368"/>
      <c r="C1368"/>
      <c r="D1368"/>
      <c r="E1368"/>
      <c r="F1368"/>
      <c r="G1368"/>
      <c r="H1368"/>
      <c r="I1368"/>
      <c r="J1368"/>
    </row>
    <row r="1369" spans="2:10" hidden="1" x14ac:dyDescent="0.25">
      <c r="B1369"/>
      <c r="C1369"/>
      <c r="D1369"/>
      <c r="E1369"/>
      <c r="F1369"/>
      <c r="G1369"/>
      <c r="H1369"/>
      <c r="I1369"/>
      <c r="J1369"/>
    </row>
    <row r="1370" spans="2:10" hidden="1" x14ac:dyDescent="0.25">
      <c r="B1370"/>
      <c r="C1370"/>
      <c r="D1370"/>
      <c r="E1370"/>
      <c r="F1370"/>
      <c r="G1370"/>
      <c r="H1370"/>
      <c r="I1370"/>
      <c r="J1370"/>
    </row>
    <row r="1371" spans="2:10" hidden="1" x14ac:dyDescent="0.25">
      <c r="B1371"/>
      <c r="C1371"/>
      <c r="D1371"/>
      <c r="E1371"/>
      <c r="F1371"/>
      <c r="G1371"/>
      <c r="H1371"/>
      <c r="I1371"/>
      <c r="J1371"/>
    </row>
    <row r="1372" spans="2:10" hidden="1" x14ac:dyDescent="0.25">
      <c r="B1372"/>
      <c r="C1372"/>
      <c r="D1372"/>
      <c r="E1372"/>
      <c r="F1372"/>
      <c r="G1372"/>
      <c r="H1372"/>
      <c r="I1372"/>
      <c r="J1372"/>
    </row>
    <row r="1373" spans="2:10" hidden="1" x14ac:dyDescent="0.25">
      <c r="B1373"/>
      <c r="C1373"/>
      <c r="D1373"/>
      <c r="E1373"/>
      <c r="F1373"/>
      <c r="G1373"/>
      <c r="H1373"/>
      <c r="I1373"/>
      <c r="J1373"/>
    </row>
    <row r="1374" spans="2:10" hidden="1" x14ac:dyDescent="0.25">
      <c r="B1374"/>
      <c r="C1374"/>
      <c r="D1374"/>
      <c r="E1374"/>
      <c r="F1374"/>
      <c r="G1374"/>
      <c r="H1374"/>
      <c r="I1374"/>
      <c r="J1374"/>
    </row>
    <row r="1375" spans="2:10" hidden="1" x14ac:dyDescent="0.25">
      <c r="B1375"/>
      <c r="C1375"/>
      <c r="D1375"/>
      <c r="E1375"/>
      <c r="F1375"/>
      <c r="G1375"/>
      <c r="H1375"/>
      <c r="I1375"/>
      <c r="J1375"/>
    </row>
    <row r="1376" spans="2:10" hidden="1" x14ac:dyDescent="0.25">
      <c r="B1376"/>
      <c r="C1376"/>
      <c r="D1376"/>
      <c r="E1376"/>
      <c r="F1376"/>
      <c r="G1376"/>
      <c r="H1376"/>
      <c r="I1376"/>
      <c r="J1376"/>
    </row>
    <row r="1377" spans="2:10" hidden="1" x14ac:dyDescent="0.25">
      <c r="B1377"/>
      <c r="C1377"/>
      <c r="D1377"/>
      <c r="E1377"/>
      <c r="F1377"/>
      <c r="G1377"/>
      <c r="H1377"/>
      <c r="I1377"/>
      <c r="J1377"/>
    </row>
    <row r="1378" spans="2:10" hidden="1" x14ac:dyDescent="0.25">
      <c r="B1378"/>
      <c r="C1378"/>
      <c r="D1378"/>
      <c r="E1378"/>
      <c r="F1378"/>
      <c r="G1378"/>
      <c r="H1378"/>
      <c r="I1378"/>
      <c r="J1378"/>
    </row>
    <row r="1379" spans="2:10" hidden="1" x14ac:dyDescent="0.25">
      <c r="B1379"/>
      <c r="C1379"/>
      <c r="D1379"/>
      <c r="E1379"/>
      <c r="F1379"/>
      <c r="G1379"/>
      <c r="H1379"/>
      <c r="I1379"/>
      <c r="J1379"/>
    </row>
    <row r="1380" spans="2:10" hidden="1" x14ac:dyDescent="0.25">
      <c r="B1380"/>
      <c r="C1380"/>
      <c r="D1380"/>
      <c r="E1380"/>
      <c r="F1380"/>
      <c r="G1380"/>
      <c r="H1380"/>
      <c r="I1380"/>
      <c r="J1380"/>
    </row>
    <row r="1381" spans="2:10" hidden="1" x14ac:dyDescent="0.25">
      <c r="B1381"/>
      <c r="C1381"/>
      <c r="D1381"/>
      <c r="E1381"/>
      <c r="F1381"/>
      <c r="G1381"/>
      <c r="H1381"/>
      <c r="I1381"/>
      <c r="J1381"/>
    </row>
    <row r="1382" spans="2:10" hidden="1" x14ac:dyDescent="0.25">
      <c r="B1382"/>
      <c r="C1382"/>
      <c r="D1382"/>
      <c r="E1382"/>
      <c r="F1382"/>
      <c r="G1382"/>
      <c r="H1382"/>
      <c r="I1382"/>
      <c r="J1382"/>
    </row>
    <row r="1383" spans="2:10" hidden="1" x14ac:dyDescent="0.25">
      <c r="B1383"/>
      <c r="C1383"/>
      <c r="D1383"/>
      <c r="E1383"/>
      <c r="F1383"/>
      <c r="G1383"/>
      <c r="H1383"/>
      <c r="I1383"/>
      <c r="J1383"/>
    </row>
    <row r="1384" spans="2:10" hidden="1" x14ac:dyDescent="0.25">
      <c r="B1384"/>
      <c r="C1384"/>
      <c r="D1384"/>
      <c r="E1384"/>
      <c r="F1384"/>
      <c r="G1384"/>
      <c r="H1384"/>
      <c r="I1384"/>
      <c r="J1384"/>
    </row>
    <row r="1385" spans="2:10" hidden="1" x14ac:dyDescent="0.25">
      <c r="B1385"/>
      <c r="C1385"/>
      <c r="D1385"/>
      <c r="E1385"/>
      <c r="F1385"/>
      <c r="G1385"/>
      <c r="H1385"/>
      <c r="I1385"/>
      <c r="J1385"/>
    </row>
    <row r="1386" spans="2:10" hidden="1" x14ac:dyDescent="0.25">
      <c r="B1386"/>
      <c r="C1386"/>
      <c r="D1386"/>
      <c r="E1386"/>
      <c r="F1386"/>
      <c r="G1386"/>
      <c r="H1386"/>
      <c r="I1386"/>
      <c r="J1386"/>
    </row>
    <row r="1387" spans="2:10" hidden="1" x14ac:dyDescent="0.25">
      <c r="B1387"/>
      <c r="C1387"/>
      <c r="D1387"/>
      <c r="E1387"/>
      <c r="F1387"/>
      <c r="G1387"/>
      <c r="H1387"/>
      <c r="I1387"/>
      <c r="J1387"/>
    </row>
    <row r="1388" spans="2:10" hidden="1" x14ac:dyDescent="0.25">
      <c r="B1388"/>
      <c r="C1388"/>
      <c r="D1388"/>
      <c r="E1388"/>
      <c r="F1388"/>
      <c r="G1388"/>
      <c r="H1388"/>
      <c r="I1388"/>
      <c r="J1388"/>
    </row>
    <row r="1389" spans="2:10" hidden="1" x14ac:dyDescent="0.25">
      <c r="B1389"/>
      <c r="C1389"/>
      <c r="D1389"/>
      <c r="E1389"/>
      <c r="F1389"/>
      <c r="G1389"/>
      <c r="H1389"/>
      <c r="I1389"/>
      <c r="J1389"/>
    </row>
    <row r="1390" spans="2:10" hidden="1" x14ac:dyDescent="0.25">
      <c r="B1390"/>
      <c r="C1390"/>
      <c r="D1390"/>
      <c r="E1390"/>
      <c r="F1390"/>
      <c r="G1390"/>
      <c r="H1390"/>
      <c r="I1390"/>
      <c r="J1390"/>
    </row>
    <row r="1391" spans="2:10" hidden="1" x14ac:dyDescent="0.25">
      <c r="B1391"/>
      <c r="C1391"/>
      <c r="D1391"/>
      <c r="E1391"/>
      <c r="F1391"/>
      <c r="G1391"/>
      <c r="H1391"/>
      <c r="I1391"/>
      <c r="J1391"/>
    </row>
    <row r="1392" spans="2:10" hidden="1" x14ac:dyDescent="0.25">
      <c r="B1392"/>
      <c r="C1392"/>
      <c r="D1392"/>
      <c r="E1392"/>
      <c r="F1392"/>
      <c r="G1392"/>
      <c r="H1392"/>
      <c r="I1392"/>
      <c r="J1392"/>
    </row>
    <row r="1393" spans="2:10" hidden="1" x14ac:dyDescent="0.25">
      <c r="B1393"/>
      <c r="C1393"/>
      <c r="D1393"/>
      <c r="E1393"/>
      <c r="F1393"/>
      <c r="G1393"/>
      <c r="H1393"/>
      <c r="I1393"/>
      <c r="J1393"/>
    </row>
    <row r="1394" spans="2:10" hidden="1" x14ac:dyDescent="0.25">
      <c r="B1394"/>
      <c r="C1394"/>
      <c r="D1394"/>
      <c r="E1394"/>
      <c r="F1394"/>
      <c r="G1394"/>
      <c r="H1394"/>
      <c r="I1394"/>
      <c r="J1394"/>
    </row>
    <row r="1395" spans="2:10" hidden="1" x14ac:dyDescent="0.25">
      <c r="B1395"/>
      <c r="C1395"/>
      <c r="D1395"/>
      <c r="E1395"/>
      <c r="F1395"/>
      <c r="G1395"/>
      <c r="H1395"/>
      <c r="I1395"/>
      <c r="J1395"/>
    </row>
    <row r="1396" spans="2:10" hidden="1" x14ac:dyDescent="0.25">
      <c r="B1396"/>
      <c r="C1396"/>
      <c r="D1396"/>
      <c r="E1396"/>
      <c r="F1396"/>
      <c r="G1396"/>
      <c r="H1396"/>
      <c r="I1396"/>
      <c r="J1396"/>
    </row>
    <row r="1397" spans="2:10" hidden="1" x14ac:dyDescent="0.25">
      <c r="B1397"/>
      <c r="C1397"/>
      <c r="D1397"/>
      <c r="E1397"/>
      <c r="F1397"/>
      <c r="G1397"/>
      <c r="H1397"/>
      <c r="I1397"/>
      <c r="J1397"/>
    </row>
    <row r="1398" spans="2:10" hidden="1" x14ac:dyDescent="0.25">
      <c r="B1398"/>
      <c r="C1398"/>
      <c r="D1398"/>
      <c r="E1398"/>
      <c r="F1398"/>
      <c r="G1398"/>
      <c r="H1398"/>
      <c r="I1398"/>
      <c r="J1398"/>
    </row>
    <row r="1399" spans="2:10" hidden="1" x14ac:dyDescent="0.25">
      <c r="B1399"/>
      <c r="C1399"/>
      <c r="D1399"/>
      <c r="E1399"/>
      <c r="F1399"/>
      <c r="G1399"/>
      <c r="H1399"/>
      <c r="I1399"/>
      <c r="J1399"/>
    </row>
    <row r="1400" spans="2:10" hidden="1" x14ac:dyDescent="0.25">
      <c r="B1400"/>
      <c r="C1400"/>
      <c r="D1400"/>
      <c r="E1400"/>
      <c r="F1400"/>
      <c r="G1400"/>
      <c r="H1400"/>
      <c r="I1400"/>
      <c r="J1400"/>
    </row>
    <row r="1401" spans="2:10" hidden="1" x14ac:dyDescent="0.25">
      <c r="B1401"/>
      <c r="C1401"/>
      <c r="D1401"/>
      <c r="E1401"/>
      <c r="F1401"/>
      <c r="G1401"/>
      <c r="H1401"/>
      <c r="I1401"/>
      <c r="J1401"/>
    </row>
    <row r="1402" spans="2:10" hidden="1" x14ac:dyDescent="0.25">
      <c r="B1402"/>
      <c r="C1402"/>
      <c r="D1402"/>
      <c r="E1402"/>
      <c r="F1402"/>
      <c r="G1402"/>
      <c r="H1402"/>
      <c r="I1402"/>
      <c r="J1402"/>
    </row>
    <row r="1403" spans="2:10" hidden="1" x14ac:dyDescent="0.25">
      <c r="B1403"/>
      <c r="C1403"/>
      <c r="D1403"/>
      <c r="E1403"/>
      <c r="F1403"/>
      <c r="G1403"/>
      <c r="H1403"/>
      <c r="I1403"/>
      <c r="J1403"/>
    </row>
    <row r="1404" spans="2:10" hidden="1" x14ac:dyDescent="0.25">
      <c r="B1404"/>
      <c r="C1404"/>
      <c r="D1404"/>
      <c r="E1404"/>
      <c r="F1404"/>
      <c r="G1404"/>
      <c r="H1404"/>
      <c r="I1404"/>
      <c r="J1404"/>
    </row>
    <row r="1405" spans="2:10" hidden="1" x14ac:dyDescent="0.25">
      <c r="B1405"/>
      <c r="C1405"/>
      <c r="D1405"/>
      <c r="E1405"/>
      <c r="F1405"/>
      <c r="G1405"/>
      <c r="H1405"/>
      <c r="I1405"/>
      <c r="J1405"/>
    </row>
    <row r="1406" spans="2:10" hidden="1" x14ac:dyDescent="0.25">
      <c r="B1406"/>
      <c r="C1406"/>
      <c r="D1406"/>
      <c r="E1406"/>
      <c r="F1406"/>
      <c r="G1406"/>
      <c r="H1406"/>
      <c r="I1406"/>
      <c r="J1406"/>
    </row>
    <row r="1407" spans="2:10" hidden="1" x14ac:dyDescent="0.25">
      <c r="B1407"/>
      <c r="C1407"/>
      <c r="D1407"/>
      <c r="E1407"/>
      <c r="F1407"/>
      <c r="G1407"/>
      <c r="H1407"/>
      <c r="I1407"/>
      <c r="J1407"/>
    </row>
    <row r="1408" spans="2:10" hidden="1" x14ac:dyDescent="0.25">
      <c r="B1408"/>
      <c r="C1408"/>
      <c r="D1408"/>
      <c r="E1408"/>
      <c r="F1408"/>
      <c r="G1408"/>
      <c r="H1408"/>
      <c r="I1408"/>
      <c r="J1408"/>
    </row>
    <row r="1409" spans="2:10" hidden="1" x14ac:dyDescent="0.25">
      <c r="B1409"/>
      <c r="C1409"/>
      <c r="D1409"/>
      <c r="E1409"/>
      <c r="F1409"/>
      <c r="G1409"/>
      <c r="H1409"/>
      <c r="I1409"/>
      <c r="J1409"/>
    </row>
    <row r="1410" spans="2:10" hidden="1" x14ac:dyDescent="0.25">
      <c r="B1410"/>
      <c r="C1410"/>
      <c r="D1410"/>
      <c r="E1410"/>
      <c r="F1410"/>
      <c r="G1410"/>
      <c r="H1410"/>
      <c r="I1410"/>
      <c r="J1410"/>
    </row>
    <row r="1411" spans="2:10" hidden="1" x14ac:dyDescent="0.25">
      <c r="B1411"/>
      <c r="C1411"/>
      <c r="D1411"/>
      <c r="E1411"/>
      <c r="F1411"/>
      <c r="G1411"/>
      <c r="H1411"/>
      <c r="I1411"/>
      <c r="J1411"/>
    </row>
    <row r="1412" spans="2:10" hidden="1" x14ac:dyDescent="0.25">
      <c r="B1412"/>
      <c r="C1412"/>
      <c r="D1412"/>
      <c r="E1412"/>
      <c r="F1412"/>
      <c r="G1412"/>
      <c r="H1412"/>
      <c r="I1412"/>
      <c r="J1412"/>
    </row>
    <row r="1413" spans="2:10" hidden="1" x14ac:dyDescent="0.25">
      <c r="B1413"/>
      <c r="C1413"/>
      <c r="D1413"/>
      <c r="E1413"/>
      <c r="F1413"/>
      <c r="G1413"/>
      <c r="H1413"/>
      <c r="I1413"/>
      <c r="J1413"/>
    </row>
    <row r="1414" spans="2:10" hidden="1" x14ac:dyDescent="0.25">
      <c r="B1414"/>
      <c r="C1414"/>
      <c r="D1414"/>
      <c r="E1414"/>
      <c r="F1414"/>
      <c r="G1414"/>
      <c r="H1414"/>
      <c r="I1414"/>
      <c r="J1414"/>
    </row>
    <row r="1415" spans="2:10" hidden="1" x14ac:dyDescent="0.25">
      <c r="B1415"/>
      <c r="C1415"/>
      <c r="D1415"/>
      <c r="E1415"/>
      <c r="F1415"/>
      <c r="G1415"/>
      <c r="H1415"/>
      <c r="I1415"/>
      <c r="J1415"/>
    </row>
    <row r="1416" spans="2:10" hidden="1" x14ac:dyDescent="0.25">
      <c r="B1416"/>
      <c r="C1416"/>
      <c r="D1416"/>
      <c r="E1416"/>
      <c r="F1416"/>
      <c r="G1416"/>
      <c r="H1416"/>
      <c r="I1416"/>
      <c r="J1416"/>
    </row>
    <row r="1417" spans="2:10" hidden="1" x14ac:dyDescent="0.25">
      <c r="B1417"/>
      <c r="C1417"/>
      <c r="D1417"/>
      <c r="E1417"/>
      <c r="F1417"/>
      <c r="G1417"/>
      <c r="H1417"/>
      <c r="I1417"/>
      <c r="J1417"/>
    </row>
    <row r="1418" spans="2:10" hidden="1" x14ac:dyDescent="0.25">
      <c r="B1418"/>
      <c r="C1418"/>
      <c r="D1418"/>
      <c r="E1418"/>
      <c r="F1418"/>
      <c r="G1418"/>
      <c r="H1418"/>
      <c r="I1418"/>
      <c r="J1418"/>
    </row>
    <row r="1419" spans="2:10" hidden="1" x14ac:dyDescent="0.25">
      <c r="B1419"/>
      <c r="C1419"/>
      <c r="D1419"/>
      <c r="E1419"/>
      <c r="F1419"/>
      <c r="G1419"/>
      <c r="H1419"/>
      <c r="I1419"/>
      <c r="J1419"/>
    </row>
    <row r="1420" spans="2:10" hidden="1" x14ac:dyDescent="0.25">
      <c r="B1420"/>
      <c r="C1420"/>
      <c r="D1420"/>
      <c r="E1420"/>
      <c r="F1420"/>
      <c r="G1420"/>
      <c r="H1420"/>
      <c r="I1420"/>
      <c r="J1420"/>
    </row>
    <row r="1421" spans="2:10" hidden="1" x14ac:dyDescent="0.25">
      <c r="B1421"/>
      <c r="C1421"/>
      <c r="D1421"/>
      <c r="E1421"/>
      <c r="F1421"/>
      <c r="G1421"/>
      <c r="H1421"/>
      <c r="I1421"/>
      <c r="J1421"/>
    </row>
    <row r="1422" spans="2:10" hidden="1" x14ac:dyDescent="0.25">
      <c r="B1422"/>
      <c r="C1422"/>
      <c r="D1422"/>
      <c r="E1422"/>
      <c r="F1422"/>
      <c r="G1422"/>
      <c r="H1422"/>
      <c r="I1422"/>
      <c r="J1422"/>
    </row>
    <row r="1423" spans="2:10" hidden="1" x14ac:dyDescent="0.25">
      <c r="B1423"/>
      <c r="C1423"/>
      <c r="D1423"/>
      <c r="E1423"/>
      <c r="F1423"/>
      <c r="G1423"/>
      <c r="H1423"/>
      <c r="I1423"/>
      <c r="J1423"/>
    </row>
    <row r="1424" spans="2:10" hidden="1" x14ac:dyDescent="0.25">
      <c r="B1424"/>
      <c r="C1424"/>
      <c r="D1424"/>
      <c r="E1424"/>
      <c r="F1424"/>
      <c r="G1424"/>
      <c r="H1424"/>
      <c r="I1424"/>
      <c r="J1424"/>
    </row>
    <row r="1425" spans="2:10" hidden="1" x14ac:dyDescent="0.25">
      <c r="B1425"/>
      <c r="C1425"/>
      <c r="D1425"/>
      <c r="E1425"/>
      <c r="F1425"/>
      <c r="G1425"/>
      <c r="H1425"/>
      <c r="I1425"/>
      <c r="J1425"/>
    </row>
    <row r="1426" spans="2:10" hidden="1" x14ac:dyDescent="0.25">
      <c r="B1426"/>
      <c r="C1426"/>
      <c r="D1426"/>
      <c r="E1426"/>
      <c r="F1426"/>
      <c r="G1426"/>
      <c r="H1426"/>
      <c r="I1426"/>
      <c r="J1426"/>
    </row>
    <row r="1427" spans="2:10" hidden="1" x14ac:dyDescent="0.25">
      <c r="B1427"/>
      <c r="C1427"/>
      <c r="D1427"/>
      <c r="E1427"/>
      <c r="F1427"/>
      <c r="G1427"/>
      <c r="H1427"/>
      <c r="I1427"/>
      <c r="J1427"/>
    </row>
    <row r="1428" spans="2:10" hidden="1" x14ac:dyDescent="0.25">
      <c r="B1428"/>
      <c r="C1428"/>
      <c r="D1428"/>
      <c r="E1428"/>
      <c r="F1428"/>
      <c r="G1428"/>
      <c r="H1428"/>
      <c r="I1428"/>
      <c r="J1428"/>
    </row>
    <row r="1429" spans="2:10" hidden="1" x14ac:dyDescent="0.25">
      <c r="B1429"/>
      <c r="C1429"/>
      <c r="D1429"/>
      <c r="E1429"/>
      <c r="F1429"/>
      <c r="G1429"/>
      <c r="H1429"/>
      <c r="I1429"/>
      <c r="J1429"/>
    </row>
    <row r="1430" spans="2:10" hidden="1" x14ac:dyDescent="0.25">
      <c r="B1430"/>
      <c r="C1430"/>
      <c r="D1430"/>
      <c r="E1430"/>
      <c r="F1430"/>
      <c r="G1430"/>
      <c r="H1430"/>
      <c r="I1430"/>
      <c r="J1430"/>
    </row>
    <row r="1431" spans="2:10" hidden="1" x14ac:dyDescent="0.25">
      <c r="B1431"/>
      <c r="C1431"/>
      <c r="D1431"/>
      <c r="E1431"/>
      <c r="F1431"/>
      <c r="G1431"/>
      <c r="H1431"/>
      <c r="I1431"/>
      <c r="J1431"/>
    </row>
    <row r="1432" spans="2:10" hidden="1" x14ac:dyDescent="0.25">
      <c r="B1432"/>
      <c r="C1432"/>
      <c r="D1432"/>
      <c r="E1432"/>
      <c r="F1432"/>
      <c r="G1432"/>
      <c r="H1432"/>
      <c r="I1432"/>
      <c r="J1432"/>
    </row>
    <row r="1433" spans="2:10" hidden="1" x14ac:dyDescent="0.25">
      <c r="B1433"/>
      <c r="C1433"/>
      <c r="D1433"/>
      <c r="E1433"/>
      <c r="F1433"/>
      <c r="G1433"/>
      <c r="H1433"/>
      <c r="I1433"/>
      <c r="J1433"/>
    </row>
    <row r="1434" spans="2:10" hidden="1" x14ac:dyDescent="0.25">
      <c r="B1434"/>
      <c r="C1434"/>
      <c r="D1434"/>
      <c r="E1434"/>
      <c r="F1434"/>
      <c r="G1434"/>
      <c r="H1434"/>
      <c r="I1434"/>
      <c r="J1434"/>
    </row>
    <row r="1435" spans="2:10" hidden="1" x14ac:dyDescent="0.25">
      <c r="B1435"/>
      <c r="C1435"/>
      <c r="D1435"/>
      <c r="E1435"/>
      <c r="F1435"/>
      <c r="G1435"/>
      <c r="H1435"/>
      <c r="I1435"/>
      <c r="J1435"/>
    </row>
    <row r="1436" spans="2:10" hidden="1" x14ac:dyDescent="0.25">
      <c r="B1436"/>
      <c r="C1436"/>
      <c r="D1436"/>
      <c r="E1436"/>
      <c r="F1436"/>
      <c r="G1436"/>
      <c r="H1436"/>
      <c r="I1436"/>
      <c r="J1436"/>
    </row>
    <row r="1437" spans="2:10" hidden="1" x14ac:dyDescent="0.25">
      <c r="B1437"/>
      <c r="C1437"/>
      <c r="D1437"/>
      <c r="E1437"/>
      <c r="F1437"/>
      <c r="G1437"/>
      <c r="H1437"/>
      <c r="I1437"/>
      <c r="J1437"/>
    </row>
    <row r="1438" spans="2:10" hidden="1" x14ac:dyDescent="0.25">
      <c r="B1438"/>
      <c r="C1438"/>
      <c r="D1438"/>
      <c r="E1438"/>
      <c r="F1438"/>
      <c r="G1438"/>
      <c r="H1438"/>
      <c r="I1438"/>
      <c r="J1438"/>
    </row>
    <row r="1439" spans="2:10" hidden="1" x14ac:dyDescent="0.25">
      <c r="B1439"/>
      <c r="C1439"/>
      <c r="D1439"/>
      <c r="E1439"/>
      <c r="F1439"/>
      <c r="G1439"/>
      <c r="H1439"/>
      <c r="I1439"/>
      <c r="J1439"/>
    </row>
    <row r="1440" spans="2:10" hidden="1" x14ac:dyDescent="0.25">
      <c r="B1440"/>
      <c r="C1440"/>
      <c r="D1440"/>
      <c r="E1440"/>
      <c r="F1440"/>
      <c r="G1440"/>
      <c r="H1440"/>
      <c r="I1440"/>
      <c r="J1440"/>
    </row>
    <row r="1441" spans="2:10" hidden="1" x14ac:dyDescent="0.25">
      <c r="B1441"/>
      <c r="C1441"/>
      <c r="D1441"/>
      <c r="E1441"/>
      <c r="F1441"/>
      <c r="G1441"/>
      <c r="H1441"/>
      <c r="I1441"/>
      <c r="J1441"/>
    </row>
    <row r="1442" spans="2:10" hidden="1" x14ac:dyDescent="0.25">
      <c r="B1442"/>
      <c r="C1442"/>
      <c r="D1442"/>
      <c r="E1442"/>
      <c r="F1442"/>
      <c r="G1442"/>
      <c r="H1442"/>
      <c r="I1442"/>
      <c r="J1442"/>
    </row>
    <row r="1443" spans="2:10" hidden="1" x14ac:dyDescent="0.25">
      <c r="B1443"/>
      <c r="C1443"/>
      <c r="D1443"/>
      <c r="E1443"/>
      <c r="F1443"/>
      <c r="G1443"/>
      <c r="H1443"/>
      <c r="I1443"/>
      <c r="J1443"/>
    </row>
    <row r="1444" spans="2:10" hidden="1" x14ac:dyDescent="0.25">
      <c r="B1444"/>
      <c r="C1444"/>
      <c r="D1444"/>
      <c r="E1444"/>
      <c r="F1444"/>
      <c r="G1444"/>
      <c r="H1444"/>
      <c r="I1444"/>
      <c r="J1444"/>
    </row>
    <row r="1445" spans="2:10" hidden="1" x14ac:dyDescent="0.25">
      <c r="B1445"/>
      <c r="C1445"/>
      <c r="D1445"/>
      <c r="E1445"/>
      <c r="F1445"/>
      <c r="G1445"/>
      <c r="H1445"/>
      <c r="I1445"/>
      <c r="J1445"/>
    </row>
    <row r="1446" spans="2:10" hidden="1" x14ac:dyDescent="0.25">
      <c r="B1446"/>
      <c r="C1446"/>
      <c r="D1446"/>
      <c r="E1446"/>
      <c r="F1446"/>
      <c r="G1446"/>
      <c r="H1446"/>
      <c r="I1446"/>
      <c r="J1446"/>
    </row>
    <row r="1447" spans="2:10" hidden="1" x14ac:dyDescent="0.25">
      <c r="B1447"/>
      <c r="C1447"/>
      <c r="D1447"/>
      <c r="E1447"/>
      <c r="F1447"/>
      <c r="G1447"/>
      <c r="H1447"/>
      <c r="I1447"/>
      <c r="J1447"/>
    </row>
    <row r="1448" spans="2:10" hidden="1" x14ac:dyDescent="0.25">
      <c r="B1448"/>
      <c r="C1448"/>
      <c r="D1448"/>
      <c r="E1448"/>
      <c r="F1448"/>
      <c r="G1448"/>
      <c r="H1448"/>
      <c r="I1448"/>
      <c r="J1448"/>
    </row>
    <row r="1449" spans="2:10" hidden="1" x14ac:dyDescent="0.25">
      <c r="B1449"/>
      <c r="C1449"/>
      <c r="D1449"/>
      <c r="E1449"/>
      <c r="F1449"/>
      <c r="G1449"/>
      <c r="H1449"/>
      <c r="I1449"/>
      <c r="J1449"/>
    </row>
    <row r="1450" spans="2:10" hidden="1" x14ac:dyDescent="0.25">
      <c r="B1450"/>
      <c r="C1450"/>
      <c r="D1450"/>
      <c r="E1450"/>
      <c r="F1450"/>
      <c r="G1450"/>
      <c r="H1450"/>
      <c r="I1450"/>
      <c r="J1450"/>
    </row>
    <row r="1451" spans="2:10" hidden="1" x14ac:dyDescent="0.25">
      <c r="B1451"/>
      <c r="C1451"/>
      <c r="D1451"/>
      <c r="E1451"/>
      <c r="F1451"/>
      <c r="G1451"/>
      <c r="H1451"/>
      <c r="I1451"/>
      <c r="J1451"/>
    </row>
    <row r="1452" spans="2:10" hidden="1" x14ac:dyDescent="0.25">
      <c r="B1452"/>
      <c r="C1452"/>
      <c r="D1452"/>
      <c r="E1452"/>
      <c r="F1452"/>
      <c r="G1452"/>
      <c r="H1452"/>
      <c r="I1452"/>
      <c r="J1452"/>
    </row>
    <row r="1453" spans="2:10" hidden="1" x14ac:dyDescent="0.25">
      <c r="B1453"/>
      <c r="C1453"/>
      <c r="D1453"/>
      <c r="E1453"/>
      <c r="F1453"/>
      <c r="G1453"/>
      <c r="H1453"/>
      <c r="I1453"/>
      <c r="J1453"/>
    </row>
    <row r="1454" spans="2:10" hidden="1" x14ac:dyDescent="0.25">
      <c r="B1454"/>
      <c r="C1454"/>
      <c r="D1454"/>
      <c r="E1454"/>
      <c r="F1454"/>
      <c r="G1454"/>
      <c r="H1454"/>
      <c r="I1454"/>
      <c r="J1454"/>
    </row>
    <row r="1455" spans="2:10" hidden="1" x14ac:dyDescent="0.25">
      <c r="B1455"/>
      <c r="C1455"/>
      <c r="D1455"/>
      <c r="E1455"/>
      <c r="F1455"/>
      <c r="G1455"/>
      <c r="H1455"/>
      <c r="I1455"/>
      <c r="J1455"/>
    </row>
    <row r="1456" spans="2:10" hidden="1" x14ac:dyDescent="0.25">
      <c r="B1456"/>
      <c r="C1456"/>
      <c r="D1456"/>
      <c r="E1456"/>
      <c r="F1456"/>
      <c r="G1456"/>
      <c r="H1456"/>
      <c r="I1456"/>
      <c r="J1456"/>
    </row>
    <row r="1457" spans="2:10" hidden="1" x14ac:dyDescent="0.25">
      <c r="B1457"/>
      <c r="C1457"/>
      <c r="D1457"/>
      <c r="E1457"/>
      <c r="F1457"/>
      <c r="G1457"/>
      <c r="H1457"/>
      <c r="I1457"/>
      <c r="J1457"/>
    </row>
    <row r="1458" spans="2:10" hidden="1" x14ac:dyDescent="0.25">
      <c r="B1458"/>
      <c r="C1458"/>
      <c r="D1458"/>
      <c r="E1458"/>
      <c r="F1458"/>
      <c r="G1458"/>
      <c r="H1458"/>
      <c r="I1458"/>
      <c r="J1458"/>
    </row>
    <row r="1459" spans="2:10" hidden="1" x14ac:dyDescent="0.25">
      <c r="B1459"/>
      <c r="C1459"/>
      <c r="D1459"/>
      <c r="E1459"/>
      <c r="F1459"/>
      <c r="G1459"/>
      <c r="H1459"/>
      <c r="I1459"/>
      <c r="J1459"/>
    </row>
    <row r="1460" spans="2:10" hidden="1" x14ac:dyDescent="0.25">
      <c r="B1460"/>
      <c r="C1460"/>
      <c r="D1460"/>
      <c r="E1460"/>
      <c r="F1460"/>
      <c r="G1460"/>
      <c r="H1460"/>
      <c r="I1460"/>
      <c r="J1460"/>
    </row>
    <row r="1461" spans="2:10" hidden="1" x14ac:dyDescent="0.25">
      <c r="B1461"/>
      <c r="C1461"/>
      <c r="D1461"/>
      <c r="E1461"/>
      <c r="F1461"/>
      <c r="G1461"/>
      <c r="H1461"/>
      <c r="I1461"/>
      <c r="J1461"/>
    </row>
    <row r="1462" spans="2:10" hidden="1" x14ac:dyDescent="0.25">
      <c r="B1462"/>
      <c r="C1462"/>
      <c r="D1462"/>
      <c r="E1462"/>
      <c r="F1462"/>
      <c r="G1462"/>
      <c r="H1462"/>
      <c r="I1462"/>
      <c r="J1462"/>
    </row>
    <row r="1463" spans="2:10" hidden="1" x14ac:dyDescent="0.25">
      <c r="B1463"/>
      <c r="C1463"/>
      <c r="D1463"/>
      <c r="E1463"/>
      <c r="F1463"/>
      <c r="G1463"/>
      <c r="H1463"/>
      <c r="I1463"/>
      <c r="J1463"/>
    </row>
    <row r="1464" spans="2:10" hidden="1" x14ac:dyDescent="0.25">
      <c r="B1464"/>
      <c r="C1464"/>
      <c r="D1464"/>
      <c r="E1464"/>
      <c r="F1464"/>
      <c r="G1464"/>
      <c r="H1464"/>
      <c r="I1464"/>
      <c r="J1464"/>
    </row>
    <row r="1465" spans="2:10" hidden="1" x14ac:dyDescent="0.25">
      <c r="B1465"/>
      <c r="C1465"/>
      <c r="D1465"/>
      <c r="E1465"/>
      <c r="F1465"/>
      <c r="G1465"/>
      <c r="H1465"/>
      <c r="I1465"/>
      <c r="J1465"/>
    </row>
    <row r="1466" spans="2:10" hidden="1" x14ac:dyDescent="0.25">
      <c r="B1466"/>
      <c r="C1466"/>
      <c r="D1466"/>
      <c r="E1466"/>
      <c r="F1466"/>
      <c r="G1466"/>
      <c r="H1466"/>
      <c r="I1466"/>
      <c r="J1466"/>
    </row>
    <row r="1467" spans="2:10" hidden="1" x14ac:dyDescent="0.25">
      <c r="B1467"/>
      <c r="C1467"/>
      <c r="D1467"/>
      <c r="E1467"/>
      <c r="F1467"/>
      <c r="G1467"/>
      <c r="H1467"/>
      <c r="I1467"/>
      <c r="J1467"/>
    </row>
    <row r="1468" spans="2:10" hidden="1" x14ac:dyDescent="0.25">
      <c r="B1468"/>
      <c r="C1468"/>
      <c r="D1468"/>
      <c r="E1468"/>
      <c r="F1468"/>
      <c r="G1468"/>
      <c r="H1468"/>
      <c r="I1468"/>
      <c r="J1468"/>
    </row>
    <row r="1469" spans="2:10" hidden="1" x14ac:dyDescent="0.25">
      <c r="B1469"/>
      <c r="C1469"/>
      <c r="D1469"/>
      <c r="E1469"/>
      <c r="F1469"/>
      <c r="G1469"/>
      <c r="H1469"/>
      <c r="I1469"/>
      <c r="J1469"/>
    </row>
    <row r="1470" spans="2:10" hidden="1" x14ac:dyDescent="0.25">
      <c r="B1470"/>
      <c r="C1470"/>
      <c r="D1470"/>
      <c r="E1470"/>
      <c r="F1470"/>
      <c r="G1470"/>
      <c r="H1470"/>
      <c r="I1470"/>
      <c r="J1470"/>
    </row>
    <row r="1471" spans="2:10" hidden="1" x14ac:dyDescent="0.25">
      <c r="B1471"/>
      <c r="C1471"/>
      <c r="D1471"/>
      <c r="E1471"/>
      <c r="F1471"/>
      <c r="G1471"/>
      <c r="H1471"/>
      <c r="I1471"/>
      <c r="J1471"/>
    </row>
    <row r="1472" spans="2:10" hidden="1" x14ac:dyDescent="0.25">
      <c r="B1472"/>
      <c r="C1472"/>
      <c r="D1472"/>
      <c r="E1472"/>
      <c r="F1472"/>
      <c r="G1472"/>
      <c r="H1472"/>
      <c r="I1472"/>
      <c r="J1472"/>
    </row>
    <row r="1473" spans="2:10" hidden="1" x14ac:dyDescent="0.25">
      <c r="B1473"/>
      <c r="C1473"/>
      <c r="D1473"/>
      <c r="E1473"/>
      <c r="F1473"/>
      <c r="G1473"/>
      <c r="H1473"/>
      <c r="I1473"/>
      <c r="J1473"/>
    </row>
    <row r="1474" spans="2:10" hidden="1" x14ac:dyDescent="0.25">
      <c r="B1474"/>
      <c r="C1474"/>
      <c r="D1474"/>
      <c r="E1474"/>
      <c r="F1474"/>
      <c r="G1474"/>
      <c r="H1474"/>
      <c r="I1474"/>
      <c r="J1474"/>
    </row>
    <row r="1475" spans="2:10" hidden="1" x14ac:dyDescent="0.25">
      <c r="B1475"/>
      <c r="C1475"/>
      <c r="D1475"/>
      <c r="E1475"/>
      <c r="F1475"/>
      <c r="G1475"/>
      <c r="H1475"/>
      <c r="I1475"/>
      <c r="J1475"/>
    </row>
    <row r="1476" spans="2:10" hidden="1" x14ac:dyDescent="0.25">
      <c r="B1476"/>
      <c r="C1476"/>
      <c r="D1476"/>
      <c r="E1476"/>
      <c r="F1476"/>
      <c r="G1476"/>
      <c r="H1476"/>
      <c r="I1476"/>
      <c r="J1476"/>
    </row>
    <row r="1477" spans="2:10" hidden="1" x14ac:dyDescent="0.25">
      <c r="B1477"/>
      <c r="C1477"/>
      <c r="D1477"/>
      <c r="E1477"/>
      <c r="F1477"/>
      <c r="G1477"/>
      <c r="H1477"/>
      <c r="I1477"/>
      <c r="J1477"/>
    </row>
    <row r="1478" spans="2:10" hidden="1" x14ac:dyDescent="0.25">
      <c r="B1478"/>
      <c r="C1478"/>
      <c r="D1478"/>
      <c r="E1478"/>
      <c r="F1478"/>
      <c r="G1478"/>
      <c r="H1478"/>
      <c r="I1478"/>
      <c r="J1478"/>
    </row>
    <row r="1479" spans="2:10" hidden="1" x14ac:dyDescent="0.25">
      <c r="B1479"/>
      <c r="C1479"/>
      <c r="D1479"/>
      <c r="E1479"/>
      <c r="F1479"/>
      <c r="G1479"/>
      <c r="H1479"/>
      <c r="I1479"/>
      <c r="J1479"/>
    </row>
    <row r="1480" spans="2:10" hidden="1" x14ac:dyDescent="0.25">
      <c r="B1480"/>
      <c r="C1480"/>
      <c r="D1480"/>
      <c r="E1480"/>
      <c r="F1480"/>
      <c r="G1480"/>
      <c r="H1480"/>
      <c r="I1480"/>
      <c r="J1480"/>
    </row>
    <row r="1481" spans="2:10" hidden="1" x14ac:dyDescent="0.25">
      <c r="B1481"/>
      <c r="C1481"/>
      <c r="D1481"/>
      <c r="E1481"/>
      <c r="F1481"/>
      <c r="G1481"/>
      <c r="H1481"/>
      <c r="I1481"/>
      <c r="J1481"/>
    </row>
    <row r="1482" spans="2:10" hidden="1" x14ac:dyDescent="0.25">
      <c r="B1482"/>
      <c r="C1482"/>
      <c r="D1482"/>
      <c r="E1482"/>
      <c r="F1482"/>
      <c r="G1482"/>
      <c r="H1482"/>
      <c r="I1482"/>
      <c r="J1482"/>
    </row>
    <row r="1483" spans="2:10" hidden="1" x14ac:dyDescent="0.25">
      <c r="B1483"/>
      <c r="C1483"/>
      <c r="D1483"/>
      <c r="E1483"/>
      <c r="F1483"/>
      <c r="G1483"/>
      <c r="H1483"/>
      <c r="I1483"/>
      <c r="J1483"/>
    </row>
    <row r="1484" spans="2:10" hidden="1" x14ac:dyDescent="0.25">
      <c r="B1484"/>
      <c r="C1484"/>
      <c r="D1484"/>
      <c r="E1484"/>
      <c r="F1484"/>
      <c r="G1484"/>
      <c r="H1484"/>
      <c r="I1484"/>
      <c r="J1484"/>
    </row>
    <row r="1485" spans="2:10" hidden="1" x14ac:dyDescent="0.25">
      <c r="B1485"/>
      <c r="C1485"/>
      <c r="D1485"/>
      <c r="E1485"/>
      <c r="F1485"/>
      <c r="G1485"/>
      <c r="H1485"/>
      <c r="I1485"/>
      <c r="J1485"/>
    </row>
    <row r="1486" spans="2:10" hidden="1" x14ac:dyDescent="0.25">
      <c r="B1486"/>
      <c r="C1486"/>
      <c r="D1486"/>
      <c r="E1486"/>
      <c r="F1486"/>
      <c r="G1486"/>
      <c r="H1486"/>
      <c r="I1486"/>
      <c r="J1486"/>
    </row>
    <row r="1487" spans="2:10" hidden="1" x14ac:dyDescent="0.25">
      <c r="B1487"/>
      <c r="C1487"/>
      <c r="D1487"/>
      <c r="E1487"/>
      <c r="F1487"/>
      <c r="G1487"/>
      <c r="H1487"/>
      <c r="I1487"/>
      <c r="J1487"/>
    </row>
    <row r="1488" spans="2:10" hidden="1" x14ac:dyDescent="0.25">
      <c r="B1488"/>
      <c r="C1488"/>
      <c r="D1488"/>
      <c r="E1488"/>
      <c r="F1488"/>
      <c r="G1488"/>
      <c r="H1488"/>
      <c r="I1488"/>
      <c r="J1488"/>
    </row>
    <row r="1489" spans="2:10" hidden="1" x14ac:dyDescent="0.25">
      <c r="B1489"/>
      <c r="C1489"/>
      <c r="D1489"/>
      <c r="E1489"/>
      <c r="F1489"/>
      <c r="G1489"/>
      <c r="H1489"/>
      <c r="I1489"/>
      <c r="J1489"/>
    </row>
    <row r="1490" spans="2:10" hidden="1" x14ac:dyDescent="0.25">
      <c r="B1490"/>
      <c r="C1490"/>
      <c r="D1490"/>
      <c r="E1490"/>
      <c r="F1490"/>
      <c r="G1490"/>
      <c r="H1490"/>
      <c r="I1490"/>
      <c r="J1490"/>
    </row>
    <row r="1491" spans="2:10" hidden="1" x14ac:dyDescent="0.25">
      <c r="B1491"/>
      <c r="C1491"/>
      <c r="D1491"/>
      <c r="E1491"/>
      <c r="F1491"/>
      <c r="G1491"/>
      <c r="H1491"/>
      <c r="I1491"/>
      <c r="J1491"/>
    </row>
    <row r="1492" spans="2:10" hidden="1" x14ac:dyDescent="0.25">
      <c r="B1492"/>
      <c r="C1492"/>
      <c r="D1492"/>
      <c r="E1492"/>
      <c r="F1492"/>
      <c r="G1492"/>
      <c r="H1492"/>
      <c r="I1492"/>
      <c r="J1492"/>
    </row>
    <row r="1493" spans="2:10" hidden="1" x14ac:dyDescent="0.25">
      <c r="B1493"/>
      <c r="C1493"/>
      <c r="D1493"/>
      <c r="E1493"/>
      <c r="F1493"/>
      <c r="G1493"/>
      <c r="H1493"/>
      <c r="I1493"/>
      <c r="J1493"/>
    </row>
    <row r="1494" spans="2:10" hidden="1" x14ac:dyDescent="0.25">
      <c r="B1494"/>
      <c r="C1494"/>
      <c r="D1494"/>
      <c r="E1494"/>
      <c r="F1494"/>
      <c r="G1494"/>
      <c r="H1494"/>
      <c r="I1494"/>
      <c r="J1494"/>
    </row>
    <row r="1495" spans="2:10" hidden="1" x14ac:dyDescent="0.25">
      <c r="B1495"/>
      <c r="C1495"/>
      <c r="D1495"/>
      <c r="E1495"/>
      <c r="F1495"/>
      <c r="G1495"/>
      <c r="H1495"/>
      <c r="I1495"/>
      <c r="J1495"/>
    </row>
    <row r="1496" spans="2:10" hidden="1" x14ac:dyDescent="0.25">
      <c r="B1496"/>
      <c r="C1496"/>
      <c r="D1496"/>
      <c r="E1496"/>
      <c r="F1496"/>
      <c r="G1496"/>
      <c r="H1496"/>
      <c r="I1496"/>
      <c r="J1496"/>
    </row>
    <row r="1497" spans="2:10" hidden="1" x14ac:dyDescent="0.25">
      <c r="B1497"/>
      <c r="C1497"/>
      <c r="D1497"/>
      <c r="E1497"/>
      <c r="F1497"/>
      <c r="G1497"/>
      <c r="H1497"/>
      <c r="I1497"/>
      <c r="J1497"/>
    </row>
    <row r="1498" spans="2:10" hidden="1" x14ac:dyDescent="0.25">
      <c r="B1498"/>
      <c r="C1498"/>
      <c r="D1498"/>
      <c r="E1498"/>
      <c r="F1498"/>
      <c r="G1498"/>
      <c r="H1498"/>
      <c r="I1498"/>
      <c r="J1498"/>
    </row>
    <row r="1499" spans="2:10" hidden="1" x14ac:dyDescent="0.25">
      <c r="B1499"/>
      <c r="C1499"/>
      <c r="D1499"/>
      <c r="E1499"/>
      <c r="F1499"/>
      <c r="G1499"/>
      <c r="H1499"/>
      <c r="I1499"/>
      <c r="J1499"/>
    </row>
    <row r="1500" spans="2:10" hidden="1" x14ac:dyDescent="0.25">
      <c r="B1500"/>
      <c r="C1500"/>
      <c r="D1500"/>
      <c r="E1500"/>
      <c r="F1500"/>
      <c r="G1500"/>
      <c r="H1500"/>
      <c r="I1500"/>
      <c r="J1500"/>
    </row>
    <row r="1501" spans="2:10" hidden="1" x14ac:dyDescent="0.25">
      <c r="B1501"/>
      <c r="C1501"/>
      <c r="D1501"/>
      <c r="E1501"/>
      <c r="F1501"/>
      <c r="G1501"/>
      <c r="H1501"/>
      <c r="I1501"/>
      <c r="J1501"/>
    </row>
    <row r="1502" spans="2:10" hidden="1" x14ac:dyDescent="0.25">
      <c r="B1502"/>
      <c r="C1502"/>
      <c r="D1502"/>
      <c r="E1502"/>
      <c r="F1502"/>
      <c r="G1502"/>
      <c r="H1502"/>
      <c r="I1502"/>
      <c r="J1502"/>
    </row>
    <row r="1503" spans="2:10" hidden="1" x14ac:dyDescent="0.25">
      <c r="B1503"/>
      <c r="C1503"/>
      <c r="D1503"/>
      <c r="E1503"/>
      <c r="F1503"/>
      <c r="G1503"/>
      <c r="H1503"/>
      <c r="I1503"/>
      <c r="J1503"/>
    </row>
    <row r="1504" spans="2:10" hidden="1" x14ac:dyDescent="0.25">
      <c r="B1504"/>
      <c r="C1504"/>
      <c r="D1504"/>
      <c r="E1504"/>
      <c r="F1504"/>
      <c r="G1504"/>
      <c r="H1504"/>
      <c r="I1504"/>
      <c r="J1504"/>
    </row>
    <row r="1505" spans="2:10" hidden="1" x14ac:dyDescent="0.25">
      <c r="B1505"/>
      <c r="C1505"/>
      <c r="D1505"/>
      <c r="E1505"/>
      <c r="F1505"/>
      <c r="G1505"/>
      <c r="H1505"/>
      <c r="I1505"/>
      <c r="J1505"/>
    </row>
    <row r="1506" spans="2:10" hidden="1" x14ac:dyDescent="0.25">
      <c r="B1506"/>
      <c r="C1506"/>
      <c r="D1506"/>
      <c r="E1506"/>
      <c r="F1506"/>
      <c r="G1506"/>
      <c r="H1506"/>
      <c r="I1506"/>
      <c r="J1506"/>
    </row>
    <row r="1507" spans="2:10" hidden="1" x14ac:dyDescent="0.25">
      <c r="B1507"/>
      <c r="C1507"/>
      <c r="D1507"/>
      <c r="E1507"/>
      <c r="F1507"/>
      <c r="G1507"/>
      <c r="H1507"/>
      <c r="I1507"/>
      <c r="J1507"/>
    </row>
    <row r="1508" spans="2:10" hidden="1" x14ac:dyDescent="0.25">
      <c r="B1508"/>
      <c r="C1508"/>
      <c r="D1508"/>
      <c r="E1508"/>
      <c r="F1508"/>
      <c r="G1508"/>
      <c r="H1508"/>
      <c r="I1508"/>
      <c r="J1508"/>
    </row>
    <row r="1509" spans="2:10" hidden="1" x14ac:dyDescent="0.25">
      <c r="B1509"/>
      <c r="C1509"/>
      <c r="D1509"/>
      <c r="E1509"/>
      <c r="F1509"/>
      <c r="G1509"/>
      <c r="H1509"/>
      <c r="I1509"/>
      <c r="J1509"/>
    </row>
    <row r="1510" spans="2:10" hidden="1" x14ac:dyDescent="0.25">
      <c r="B1510"/>
      <c r="C1510"/>
      <c r="D1510"/>
      <c r="E1510"/>
      <c r="F1510"/>
      <c r="G1510"/>
      <c r="H1510"/>
      <c r="I1510"/>
      <c r="J1510"/>
    </row>
    <row r="1511" spans="2:10" hidden="1" x14ac:dyDescent="0.25">
      <c r="B1511"/>
      <c r="C1511"/>
      <c r="D1511"/>
      <c r="E1511"/>
      <c r="F1511"/>
      <c r="G1511"/>
      <c r="H1511"/>
      <c r="I1511"/>
      <c r="J1511"/>
    </row>
    <row r="1512" spans="2:10" hidden="1" x14ac:dyDescent="0.25">
      <c r="B1512"/>
      <c r="C1512"/>
      <c r="D1512"/>
      <c r="E1512"/>
      <c r="F1512"/>
      <c r="G1512"/>
      <c r="H1512"/>
      <c r="I1512"/>
      <c r="J1512"/>
    </row>
    <row r="1513" spans="2:10" hidden="1" x14ac:dyDescent="0.25">
      <c r="B1513"/>
      <c r="C1513"/>
      <c r="D1513"/>
      <c r="E1513"/>
      <c r="F1513"/>
      <c r="G1513"/>
      <c r="H1513"/>
      <c r="I1513"/>
      <c r="J1513"/>
    </row>
    <row r="1514" spans="2:10" hidden="1" x14ac:dyDescent="0.25">
      <c r="B1514"/>
      <c r="C1514"/>
      <c r="D1514"/>
      <c r="E1514"/>
      <c r="F1514"/>
      <c r="G1514"/>
      <c r="H1514"/>
      <c r="I1514"/>
      <c r="J1514"/>
    </row>
    <row r="1515" spans="2:10" hidden="1" x14ac:dyDescent="0.25">
      <c r="B1515"/>
      <c r="C1515"/>
      <c r="D1515"/>
      <c r="E1515"/>
      <c r="F1515"/>
      <c r="G1515"/>
      <c r="H1515"/>
      <c r="I1515"/>
      <c r="J1515"/>
    </row>
    <row r="1516" spans="2:10" hidden="1" x14ac:dyDescent="0.25">
      <c r="B1516"/>
      <c r="C1516"/>
      <c r="D1516"/>
      <c r="E1516"/>
      <c r="F1516"/>
      <c r="G1516"/>
      <c r="H1516"/>
      <c r="I1516"/>
      <c r="J1516"/>
    </row>
    <row r="1517" spans="2:10" hidden="1" x14ac:dyDescent="0.25">
      <c r="B1517"/>
      <c r="C1517"/>
      <c r="D1517"/>
      <c r="E1517"/>
      <c r="F1517"/>
      <c r="G1517"/>
      <c r="H1517"/>
      <c r="I1517"/>
      <c r="J1517"/>
    </row>
    <row r="1518" spans="2:10" hidden="1" x14ac:dyDescent="0.25">
      <c r="B1518"/>
      <c r="C1518"/>
      <c r="D1518"/>
      <c r="E1518"/>
      <c r="F1518"/>
      <c r="G1518"/>
      <c r="H1518"/>
      <c r="I1518"/>
      <c r="J1518"/>
    </row>
    <row r="1519" spans="2:10" hidden="1" x14ac:dyDescent="0.25">
      <c r="B1519"/>
      <c r="C1519"/>
      <c r="D1519"/>
      <c r="E1519"/>
      <c r="F1519"/>
      <c r="G1519"/>
      <c r="H1519"/>
      <c r="I1519"/>
      <c r="J1519"/>
    </row>
    <row r="1520" spans="2:10" hidden="1" x14ac:dyDescent="0.25">
      <c r="B1520"/>
      <c r="C1520"/>
      <c r="D1520"/>
      <c r="E1520"/>
      <c r="F1520"/>
      <c r="G1520"/>
      <c r="H1520"/>
      <c r="I1520"/>
      <c r="J1520"/>
    </row>
    <row r="1521" spans="2:10" hidden="1" x14ac:dyDescent="0.25">
      <c r="B1521"/>
      <c r="C1521"/>
      <c r="D1521"/>
      <c r="E1521"/>
      <c r="F1521"/>
      <c r="G1521"/>
      <c r="H1521"/>
      <c r="I1521"/>
      <c r="J1521"/>
    </row>
    <row r="1522" spans="2:10" hidden="1" x14ac:dyDescent="0.25">
      <c r="B1522"/>
      <c r="C1522"/>
      <c r="D1522"/>
      <c r="E1522"/>
      <c r="F1522"/>
      <c r="G1522"/>
      <c r="H1522"/>
      <c r="I1522"/>
      <c r="J1522"/>
    </row>
    <row r="1523" spans="2:10" hidden="1" x14ac:dyDescent="0.25">
      <c r="B1523"/>
      <c r="C1523"/>
      <c r="D1523"/>
      <c r="E1523"/>
      <c r="F1523"/>
      <c r="G1523"/>
      <c r="H1523"/>
      <c r="I1523"/>
      <c r="J1523"/>
    </row>
    <row r="1524" spans="2:10" hidden="1" x14ac:dyDescent="0.25">
      <c r="B1524"/>
      <c r="C1524"/>
      <c r="D1524"/>
      <c r="E1524"/>
      <c r="F1524"/>
      <c r="G1524"/>
      <c r="H1524"/>
      <c r="I1524"/>
      <c r="J1524"/>
    </row>
    <row r="1525" spans="2:10" hidden="1" x14ac:dyDescent="0.25">
      <c r="B1525"/>
      <c r="C1525"/>
      <c r="D1525"/>
      <c r="E1525"/>
      <c r="F1525"/>
      <c r="G1525"/>
      <c r="H1525"/>
      <c r="I1525"/>
      <c r="J1525"/>
    </row>
    <row r="1526" spans="2:10" hidden="1" x14ac:dyDescent="0.25">
      <c r="B1526"/>
      <c r="C1526"/>
      <c r="D1526"/>
      <c r="E1526"/>
      <c r="F1526"/>
      <c r="G1526"/>
      <c r="H1526"/>
      <c r="I1526"/>
      <c r="J1526"/>
    </row>
    <row r="1527" spans="2:10" hidden="1" x14ac:dyDescent="0.25">
      <c r="B1527"/>
      <c r="C1527"/>
      <c r="D1527"/>
      <c r="E1527"/>
      <c r="F1527"/>
      <c r="G1527"/>
      <c r="H1527"/>
      <c r="I1527"/>
      <c r="J1527"/>
    </row>
    <row r="1528" spans="2:10" hidden="1" x14ac:dyDescent="0.25">
      <c r="B1528"/>
      <c r="C1528"/>
      <c r="D1528"/>
      <c r="E1528"/>
      <c r="F1528"/>
      <c r="G1528"/>
      <c r="H1528"/>
      <c r="I1528"/>
      <c r="J1528"/>
    </row>
    <row r="1529" spans="2:10" hidden="1" x14ac:dyDescent="0.25">
      <c r="B1529"/>
      <c r="C1529"/>
      <c r="D1529"/>
      <c r="E1529"/>
      <c r="F1529"/>
      <c r="G1529"/>
      <c r="H1529"/>
      <c r="I1529"/>
      <c r="J1529"/>
    </row>
    <row r="1530" spans="2:10" hidden="1" x14ac:dyDescent="0.25">
      <c r="B1530"/>
      <c r="C1530"/>
      <c r="D1530"/>
      <c r="E1530"/>
      <c r="F1530"/>
      <c r="G1530"/>
      <c r="H1530"/>
      <c r="I1530"/>
      <c r="J1530"/>
    </row>
    <row r="1531" spans="2:10" hidden="1" x14ac:dyDescent="0.25">
      <c r="B1531"/>
      <c r="C1531"/>
      <c r="D1531"/>
      <c r="E1531"/>
      <c r="F1531"/>
      <c r="G1531"/>
      <c r="H1531"/>
      <c r="I1531"/>
      <c r="J1531"/>
    </row>
    <row r="1532" spans="2:10" hidden="1" x14ac:dyDescent="0.25">
      <c r="B1532"/>
      <c r="C1532"/>
      <c r="D1532"/>
      <c r="E1532"/>
      <c r="F1532"/>
      <c r="G1532"/>
      <c r="H1532"/>
      <c r="I1532"/>
      <c r="J1532"/>
    </row>
    <row r="1533" spans="2:10" hidden="1" x14ac:dyDescent="0.25">
      <c r="B1533"/>
      <c r="C1533"/>
      <c r="D1533"/>
      <c r="E1533"/>
      <c r="F1533"/>
      <c r="G1533"/>
      <c r="H1533"/>
      <c r="I1533"/>
      <c r="J1533"/>
    </row>
    <row r="1534" spans="2:10" hidden="1" x14ac:dyDescent="0.25">
      <c r="B1534"/>
      <c r="C1534"/>
      <c r="D1534"/>
      <c r="E1534"/>
      <c r="F1534"/>
      <c r="G1534"/>
      <c r="H1534"/>
      <c r="I1534"/>
      <c r="J1534"/>
    </row>
    <row r="1535" spans="2:10" hidden="1" x14ac:dyDescent="0.25">
      <c r="B1535"/>
      <c r="C1535"/>
      <c r="D1535"/>
      <c r="E1535"/>
      <c r="F1535"/>
      <c r="G1535"/>
      <c r="H1535"/>
      <c r="I1535"/>
      <c r="J1535"/>
    </row>
    <row r="1536" spans="2:10" hidden="1" x14ac:dyDescent="0.25">
      <c r="B1536"/>
      <c r="C1536"/>
      <c r="D1536"/>
      <c r="E1536"/>
      <c r="F1536"/>
      <c r="G1536"/>
      <c r="H1536"/>
      <c r="I1536"/>
      <c r="J1536"/>
    </row>
    <row r="1537" spans="2:10" hidden="1" x14ac:dyDescent="0.25">
      <c r="B1537"/>
      <c r="C1537"/>
      <c r="D1537"/>
      <c r="E1537"/>
      <c r="F1537"/>
      <c r="G1537"/>
      <c r="H1537"/>
      <c r="I1537"/>
      <c r="J1537"/>
    </row>
    <row r="1538" spans="2:10" hidden="1" x14ac:dyDescent="0.25">
      <c r="B1538"/>
      <c r="C1538"/>
      <c r="D1538"/>
      <c r="E1538"/>
      <c r="F1538"/>
      <c r="G1538"/>
      <c r="H1538"/>
      <c r="I1538"/>
      <c r="J1538"/>
    </row>
    <row r="1539" spans="2:10" hidden="1" x14ac:dyDescent="0.25">
      <c r="B1539"/>
      <c r="C1539"/>
      <c r="D1539"/>
      <c r="E1539"/>
      <c r="F1539"/>
      <c r="G1539"/>
      <c r="H1539"/>
      <c r="I1539"/>
      <c r="J1539"/>
    </row>
    <row r="1540" spans="2:10" hidden="1" x14ac:dyDescent="0.25">
      <c r="B1540"/>
      <c r="C1540"/>
      <c r="D1540"/>
      <c r="E1540"/>
      <c r="F1540"/>
      <c r="G1540"/>
      <c r="H1540"/>
      <c r="I1540"/>
      <c r="J1540"/>
    </row>
    <row r="1541" spans="2:10" hidden="1" x14ac:dyDescent="0.25">
      <c r="B1541"/>
      <c r="C1541"/>
      <c r="D1541"/>
      <c r="E1541"/>
      <c r="F1541"/>
      <c r="G1541"/>
      <c r="H1541"/>
      <c r="I1541"/>
      <c r="J1541"/>
    </row>
    <row r="1542" spans="2:10" hidden="1" x14ac:dyDescent="0.25">
      <c r="B1542"/>
      <c r="C1542"/>
      <c r="D1542"/>
      <c r="E1542"/>
      <c r="F1542"/>
      <c r="G1542"/>
      <c r="H1542"/>
      <c r="I1542"/>
      <c r="J1542"/>
    </row>
    <row r="1543" spans="2:10" hidden="1" x14ac:dyDescent="0.25">
      <c r="B1543"/>
      <c r="C1543"/>
      <c r="D1543"/>
      <c r="E1543"/>
      <c r="F1543"/>
      <c r="G1543"/>
      <c r="H1543"/>
      <c r="I1543"/>
      <c r="J1543"/>
    </row>
    <row r="1544" spans="2:10" hidden="1" x14ac:dyDescent="0.25">
      <c r="B1544"/>
      <c r="C1544"/>
      <c r="D1544"/>
      <c r="E1544"/>
      <c r="F1544"/>
      <c r="G1544"/>
      <c r="H1544"/>
      <c r="I1544"/>
      <c r="J1544"/>
    </row>
    <row r="1545" spans="2:10" hidden="1" x14ac:dyDescent="0.25">
      <c r="B1545"/>
      <c r="C1545"/>
      <c r="D1545"/>
      <c r="E1545"/>
      <c r="F1545"/>
      <c r="G1545"/>
      <c r="H1545"/>
      <c r="I1545"/>
      <c r="J1545"/>
    </row>
    <row r="1546" spans="2:10" hidden="1" x14ac:dyDescent="0.25">
      <c r="B1546"/>
      <c r="C1546"/>
      <c r="D1546"/>
      <c r="E1546"/>
      <c r="F1546"/>
      <c r="G1546"/>
      <c r="H1546"/>
      <c r="I1546"/>
      <c r="J1546"/>
    </row>
    <row r="1547" spans="2:10" hidden="1" x14ac:dyDescent="0.25">
      <c r="B1547"/>
      <c r="C1547"/>
      <c r="D1547"/>
      <c r="E1547"/>
      <c r="F1547"/>
      <c r="G1547"/>
      <c r="H1547"/>
      <c r="I1547"/>
      <c r="J1547"/>
    </row>
    <row r="1548" spans="2:10" hidden="1" x14ac:dyDescent="0.25">
      <c r="B1548"/>
      <c r="C1548"/>
      <c r="D1548"/>
      <c r="E1548"/>
      <c r="F1548"/>
      <c r="G1548"/>
      <c r="H1548"/>
      <c r="I1548"/>
      <c r="J1548"/>
    </row>
    <row r="1549" spans="2:10" hidden="1" x14ac:dyDescent="0.25">
      <c r="B1549"/>
      <c r="C1549"/>
      <c r="D1549"/>
      <c r="E1549"/>
      <c r="F1549"/>
      <c r="G1549"/>
      <c r="H1549"/>
      <c r="I1549"/>
      <c r="J1549"/>
    </row>
    <row r="1550" spans="2:10" hidden="1" x14ac:dyDescent="0.25">
      <c r="B1550"/>
      <c r="C1550"/>
      <c r="D1550"/>
      <c r="E1550"/>
      <c r="F1550"/>
      <c r="G1550"/>
      <c r="H1550"/>
      <c r="I1550"/>
      <c r="J1550"/>
    </row>
    <row r="1551" spans="2:10" hidden="1" x14ac:dyDescent="0.25">
      <c r="B1551"/>
      <c r="C1551"/>
      <c r="D1551"/>
      <c r="E1551"/>
      <c r="F1551"/>
      <c r="G1551"/>
      <c r="H1551"/>
      <c r="I1551"/>
      <c r="J1551"/>
    </row>
    <row r="1552" spans="2:10" hidden="1" x14ac:dyDescent="0.25">
      <c r="B1552"/>
      <c r="C1552"/>
      <c r="D1552"/>
      <c r="E1552"/>
      <c r="F1552"/>
      <c r="G1552"/>
      <c r="H1552"/>
      <c r="I1552"/>
      <c r="J1552"/>
    </row>
    <row r="1553" spans="2:10" hidden="1" x14ac:dyDescent="0.25">
      <c r="B1553"/>
      <c r="C1553"/>
      <c r="D1553"/>
      <c r="E1553"/>
      <c r="F1553"/>
      <c r="G1553"/>
      <c r="H1553"/>
      <c r="I1553"/>
      <c r="J1553"/>
    </row>
    <row r="1554" spans="2:10" hidden="1" x14ac:dyDescent="0.25">
      <c r="B1554"/>
      <c r="C1554"/>
      <c r="D1554"/>
      <c r="E1554"/>
      <c r="F1554"/>
      <c r="G1554"/>
      <c r="H1554"/>
      <c r="I1554"/>
      <c r="J1554"/>
    </row>
    <row r="1555" spans="2:10" hidden="1" x14ac:dyDescent="0.25">
      <c r="B1555"/>
      <c r="C1555"/>
      <c r="D1555"/>
      <c r="E1555"/>
      <c r="F1555"/>
      <c r="G1555"/>
      <c r="H1555"/>
      <c r="I1555"/>
      <c r="J1555"/>
    </row>
    <row r="1556" spans="2:10" hidden="1" x14ac:dyDescent="0.25">
      <c r="B1556"/>
      <c r="C1556"/>
      <c r="D1556"/>
      <c r="E1556"/>
      <c r="F1556"/>
      <c r="G1556"/>
      <c r="H1556"/>
      <c r="I1556"/>
      <c r="J1556"/>
    </row>
    <row r="1557" spans="2:10" hidden="1" x14ac:dyDescent="0.25">
      <c r="B1557"/>
      <c r="C1557"/>
      <c r="D1557"/>
      <c r="E1557"/>
      <c r="F1557"/>
      <c r="G1557"/>
      <c r="H1557"/>
      <c r="I1557"/>
      <c r="J1557"/>
    </row>
    <row r="1558" spans="2:10" hidden="1" x14ac:dyDescent="0.25">
      <c r="B1558"/>
      <c r="C1558"/>
      <c r="D1558"/>
      <c r="E1558"/>
      <c r="F1558"/>
      <c r="G1558"/>
      <c r="H1558"/>
      <c r="I1558"/>
      <c r="J1558"/>
    </row>
    <row r="1559" spans="2:10" hidden="1" x14ac:dyDescent="0.25">
      <c r="B1559"/>
      <c r="C1559"/>
      <c r="D1559"/>
      <c r="E1559"/>
      <c r="F1559"/>
      <c r="G1559"/>
      <c r="H1559"/>
      <c r="I1559"/>
      <c r="J1559"/>
    </row>
    <row r="1560" spans="2:10" hidden="1" x14ac:dyDescent="0.25">
      <c r="B1560"/>
      <c r="C1560"/>
      <c r="D1560"/>
      <c r="E1560"/>
      <c r="F1560"/>
      <c r="G1560"/>
      <c r="H1560"/>
      <c r="I1560"/>
      <c r="J1560"/>
    </row>
    <row r="1561" spans="2:10" hidden="1" x14ac:dyDescent="0.25">
      <c r="B1561"/>
      <c r="C1561"/>
      <c r="D1561"/>
      <c r="E1561"/>
      <c r="F1561"/>
      <c r="G1561"/>
      <c r="H1561"/>
      <c r="I1561"/>
      <c r="J1561"/>
    </row>
    <row r="1562" spans="2:10" hidden="1" x14ac:dyDescent="0.25">
      <c r="B1562"/>
      <c r="C1562"/>
      <c r="D1562"/>
      <c r="E1562"/>
      <c r="F1562"/>
      <c r="G1562"/>
      <c r="H1562"/>
      <c r="I1562"/>
      <c r="J1562"/>
    </row>
    <row r="1563" spans="2:10" hidden="1" x14ac:dyDescent="0.25">
      <c r="B1563"/>
      <c r="C1563"/>
      <c r="D1563"/>
      <c r="E1563"/>
      <c r="F1563"/>
      <c r="G1563"/>
      <c r="H1563"/>
      <c r="I1563"/>
      <c r="J1563"/>
    </row>
    <row r="1564" spans="2:10" hidden="1" x14ac:dyDescent="0.25">
      <c r="B1564"/>
      <c r="C1564"/>
      <c r="D1564"/>
      <c r="E1564"/>
      <c r="F1564"/>
      <c r="G1564"/>
      <c r="H1564"/>
      <c r="I1564"/>
      <c r="J1564"/>
    </row>
    <row r="1565" spans="2:10" hidden="1" x14ac:dyDescent="0.25">
      <c r="B1565"/>
      <c r="C1565"/>
      <c r="D1565"/>
      <c r="E1565"/>
      <c r="F1565"/>
      <c r="G1565"/>
      <c r="H1565"/>
      <c r="I1565"/>
      <c r="J1565"/>
    </row>
    <row r="1566" spans="2:10" hidden="1" x14ac:dyDescent="0.25">
      <c r="B1566"/>
      <c r="C1566"/>
      <c r="D1566"/>
      <c r="E1566"/>
      <c r="F1566"/>
      <c r="G1566"/>
      <c r="H1566"/>
      <c r="I1566"/>
      <c r="J1566"/>
    </row>
    <row r="1567" spans="2:10" hidden="1" x14ac:dyDescent="0.25">
      <c r="B1567"/>
      <c r="C1567"/>
      <c r="D1567"/>
      <c r="E1567"/>
      <c r="F1567"/>
      <c r="G1567"/>
      <c r="H1567"/>
      <c r="I1567"/>
      <c r="J1567"/>
    </row>
    <row r="1568" spans="2:10" hidden="1" x14ac:dyDescent="0.25">
      <c r="B1568"/>
      <c r="C1568"/>
      <c r="D1568"/>
      <c r="E1568"/>
      <c r="F1568"/>
      <c r="G1568"/>
      <c r="H1568"/>
      <c r="I1568"/>
      <c r="J1568"/>
    </row>
    <row r="1569" spans="2:10" hidden="1" x14ac:dyDescent="0.25">
      <c r="B1569"/>
      <c r="C1569"/>
      <c r="D1569"/>
      <c r="E1569"/>
      <c r="F1569"/>
      <c r="G1569"/>
      <c r="H1569"/>
      <c r="I1569"/>
      <c r="J1569"/>
    </row>
    <row r="1570" spans="2:10" hidden="1" x14ac:dyDescent="0.25">
      <c r="B1570"/>
      <c r="C1570"/>
      <c r="D1570"/>
      <c r="E1570"/>
      <c r="F1570"/>
      <c r="G1570"/>
      <c r="H1570"/>
      <c r="I1570"/>
      <c r="J1570"/>
    </row>
    <row r="1571" spans="2:10" hidden="1" x14ac:dyDescent="0.25">
      <c r="B1571"/>
      <c r="C1571"/>
      <c r="D1571"/>
      <c r="E1571"/>
      <c r="F1571"/>
      <c r="G1571"/>
      <c r="H1571"/>
      <c r="I1571"/>
      <c r="J1571"/>
    </row>
    <row r="1572" spans="2:10" hidden="1" x14ac:dyDescent="0.25">
      <c r="B1572"/>
      <c r="C1572"/>
      <c r="D1572"/>
      <c r="E1572"/>
      <c r="F1572"/>
      <c r="G1572"/>
      <c r="H1572"/>
      <c r="I1572"/>
      <c r="J1572"/>
    </row>
    <row r="1573" spans="2:10" hidden="1" x14ac:dyDescent="0.25">
      <c r="B1573"/>
      <c r="C1573"/>
      <c r="D1573"/>
      <c r="E1573"/>
      <c r="F1573"/>
      <c r="G1573"/>
      <c r="H1573"/>
      <c r="I1573"/>
      <c r="J1573"/>
    </row>
    <row r="1574" spans="2:10" hidden="1" x14ac:dyDescent="0.25">
      <c r="B1574"/>
      <c r="C1574"/>
      <c r="D1574"/>
      <c r="E1574"/>
      <c r="F1574"/>
      <c r="G1574"/>
      <c r="H1574"/>
      <c r="I1574"/>
      <c r="J1574"/>
    </row>
    <row r="1575" spans="2:10" hidden="1" x14ac:dyDescent="0.25">
      <c r="B1575"/>
      <c r="C1575"/>
      <c r="D1575"/>
      <c r="E1575"/>
      <c r="F1575"/>
      <c r="G1575"/>
      <c r="H1575"/>
      <c r="I1575"/>
      <c r="J1575"/>
    </row>
    <row r="1576" spans="2:10" hidden="1" x14ac:dyDescent="0.25">
      <c r="B1576"/>
      <c r="C1576"/>
      <c r="D1576"/>
      <c r="E1576"/>
      <c r="F1576"/>
      <c r="G1576"/>
      <c r="H1576"/>
      <c r="I1576"/>
      <c r="J1576"/>
    </row>
    <row r="1577" spans="2:10" hidden="1" x14ac:dyDescent="0.25">
      <c r="B1577"/>
      <c r="C1577"/>
      <c r="D1577"/>
      <c r="E1577"/>
      <c r="F1577"/>
      <c r="G1577"/>
      <c r="H1577"/>
      <c r="I1577"/>
      <c r="J1577"/>
    </row>
    <row r="1578" spans="2:10" hidden="1" x14ac:dyDescent="0.25">
      <c r="B1578"/>
      <c r="C1578"/>
      <c r="D1578"/>
      <c r="E1578"/>
      <c r="F1578"/>
      <c r="G1578"/>
      <c r="H1578"/>
      <c r="I1578"/>
      <c r="J1578"/>
    </row>
    <row r="1579" spans="2:10" hidden="1" x14ac:dyDescent="0.25">
      <c r="B1579"/>
      <c r="C1579"/>
      <c r="D1579"/>
      <c r="E1579"/>
      <c r="F1579"/>
      <c r="G1579"/>
      <c r="H1579"/>
      <c r="I1579"/>
      <c r="J1579"/>
    </row>
    <row r="1580" spans="2:10" hidden="1" x14ac:dyDescent="0.25">
      <c r="B1580"/>
      <c r="C1580"/>
      <c r="D1580"/>
      <c r="E1580"/>
      <c r="F1580"/>
      <c r="G1580"/>
      <c r="H1580"/>
      <c r="I1580"/>
      <c r="J1580"/>
    </row>
    <row r="1581" spans="2:10" hidden="1" x14ac:dyDescent="0.25">
      <c r="B1581"/>
      <c r="C1581"/>
      <c r="D1581"/>
      <c r="E1581"/>
      <c r="F1581"/>
      <c r="G1581"/>
      <c r="H1581"/>
      <c r="I1581"/>
      <c r="J1581"/>
    </row>
    <row r="1582" spans="2:10" hidden="1" x14ac:dyDescent="0.25">
      <c r="B1582"/>
      <c r="C1582"/>
      <c r="D1582"/>
      <c r="E1582"/>
      <c r="F1582"/>
      <c r="G1582"/>
      <c r="H1582"/>
      <c r="I1582"/>
      <c r="J1582"/>
    </row>
    <row r="1583" spans="2:10" hidden="1" x14ac:dyDescent="0.25">
      <c r="B1583"/>
      <c r="C1583"/>
      <c r="D1583"/>
      <c r="E1583"/>
      <c r="F1583"/>
      <c r="G1583"/>
      <c r="H1583"/>
      <c r="I1583"/>
      <c r="J1583"/>
    </row>
    <row r="1584" spans="2:10" hidden="1" x14ac:dyDescent="0.25">
      <c r="B1584"/>
      <c r="C1584"/>
      <c r="D1584"/>
      <c r="E1584"/>
      <c r="F1584"/>
      <c r="G1584"/>
      <c r="H1584"/>
      <c r="I1584"/>
      <c r="J1584"/>
    </row>
    <row r="1585" spans="2:10" hidden="1" x14ac:dyDescent="0.25">
      <c r="B1585"/>
      <c r="C1585"/>
      <c r="D1585"/>
      <c r="E1585"/>
      <c r="F1585"/>
      <c r="G1585"/>
      <c r="H1585"/>
      <c r="I1585"/>
      <c r="J1585"/>
    </row>
    <row r="1586" spans="2:10" hidden="1" x14ac:dyDescent="0.25">
      <c r="B1586"/>
      <c r="C1586"/>
      <c r="D1586"/>
      <c r="E1586"/>
      <c r="F1586"/>
      <c r="G1586"/>
      <c r="H1586"/>
      <c r="I1586"/>
      <c r="J1586"/>
    </row>
    <row r="1587" spans="2:10" hidden="1" x14ac:dyDescent="0.25">
      <c r="B1587"/>
      <c r="C1587"/>
      <c r="D1587"/>
      <c r="E1587"/>
      <c r="F1587"/>
      <c r="G1587"/>
      <c r="H1587"/>
      <c r="I1587"/>
      <c r="J1587"/>
    </row>
    <row r="1588" spans="2:10" hidden="1" x14ac:dyDescent="0.25">
      <c r="B1588"/>
      <c r="C1588"/>
      <c r="D1588"/>
      <c r="E1588"/>
      <c r="F1588"/>
      <c r="G1588"/>
      <c r="H1588"/>
      <c r="I1588"/>
      <c r="J1588"/>
    </row>
    <row r="1589" spans="2:10" hidden="1" x14ac:dyDescent="0.25">
      <c r="B1589"/>
      <c r="C1589"/>
      <c r="D1589"/>
      <c r="E1589"/>
      <c r="F1589"/>
      <c r="G1589"/>
      <c r="H1589"/>
      <c r="I1589"/>
      <c r="J1589"/>
    </row>
    <row r="1590" spans="2:10" hidden="1" x14ac:dyDescent="0.25">
      <c r="B1590"/>
      <c r="C1590"/>
      <c r="D1590"/>
      <c r="E1590"/>
      <c r="F1590"/>
      <c r="G1590"/>
      <c r="H1590"/>
      <c r="I1590"/>
      <c r="J1590"/>
    </row>
    <row r="1591" spans="2:10" hidden="1" x14ac:dyDescent="0.25">
      <c r="B1591"/>
      <c r="C1591"/>
      <c r="D1591"/>
      <c r="E1591"/>
      <c r="F1591"/>
      <c r="G1591"/>
      <c r="H1591"/>
      <c r="I1591"/>
      <c r="J1591"/>
    </row>
    <row r="1592" spans="2:10" hidden="1" x14ac:dyDescent="0.25">
      <c r="B1592"/>
      <c r="C1592"/>
      <c r="D1592"/>
      <c r="E1592"/>
      <c r="F1592"/>
      <c r="G1592"/>
      <c r="H1592"/>
      <c r="I1592"/>
      <c r="J1592"/>
    </row>
    <row r="1593" spans="2:10" hidden="1" x14ac:dyDescent="0.25">
      <c r="B1593"/>
      <c r="C1593"/>
      <c r="D1593"/>
      <c r="E1593"/>
      <c r="F1593"/>
      <c r="G1593"/>
      <c r="H1593"/>
      <c r="I1593"/>
      <c r="J1593"/>
    </row>
    <row r="1594" spans="2:10" hidden="1" x14ac:dyDescent="0.25">
      <c r="B1594"/>
      <c r="C1594"/>
      <c r="D1594"/>
      <c r="E1594"/>
      <c r="F1594"/>
      <c r="G1594"/>
      <c r="H1594"/>
      <c r="I1594"/>
      <c r="J1594"/>
    </row>
    <row r="1595" spans="2:10" hidden="1" x14ac:dyDescent="0.25">
      <c r="B1595"/>
      <c r="C1595"/>
      <c r="D1595"/>
      <c r="E1595"/>
      <c r="F1595"/>
      <c r="G1595"/>
      <c r="H1595"/>
      <c r="I1595"/>
      <c r="J1595"/>
    </row>
    <row r="1596" spans="2:10" hidden="1" x14ac:dyDescent="0.25">
      <c r="B1596"/>
      <c r="C1596"/>
      <c r="D1596"/>
      <c r="E1596"/>
      <c r="F1596"/>
      <c r="G1596"/>
      <c r="H1596"/>
      <c r="I1596"/>
      <c r="J1596"/>
    </row>
    <row r="1597" spans="2:10" hidden="1" x14ac:dyDescent="0.25">
      <c r="B1597"/>
      <c r="C1597"/>
      <c r="D1597"/>
      <c r="E1597"/>
      <c r="F1597"/>
      <c r="G1597"/>
      <c r="H1597"/>
      <c r="I1597"/>
      <c r="J1597"/>
    </row>
    <row r="1598" spans="2:10" hidden="1" x14ac:dyDescent="0.25">
      <c r="B1598"/>
      <c r="C1598"/>
      <c r="D1598"/>
      <c r="E1598"/>
      <c r="F1598"/>
      <c r="G1598"/>
      <c r="H1598"/>
      <c r="I1598"/>
      <c r="J1598"/>
    </row>
    <row r="1599" spans="2:10" hidden="1" x14ac:dyDescent="0.25">
      <c r="B1599"/>
      <c r="C1599"/>
      <c r="D1599"/>
      <c r="E1599"/>
      <c r="F1599"/>
      <c r="G1599"/>
      <c r="H1599"/>
      <c r="I1599"/>
      <c r="J1599"/>
    </row>
    <row r="1600" spans="2:10" hidden="1" x14ac:dyDescent="0.25">
      <c r="B1600"/>
      <c r="C1600"/>
      <c r="D1600"/>
      <c r="E1600"/>
      <c r="F1600"/>
      <c r="G1600"/>
      <c r="H1600"/>
      <c r="I1600"/>
      <c r="J1600"/>
    </row>
    <row r="1601" spans="2:10" hidden="1" x14ac:dyDescent="0.25">
      <c r="B1601"/>
      <c r="C1601"/>
      <c r="D1601"/>
      <c r="E1601"/>
      <c r="F1601"/>
      <c r="G1601"/>
      <c r="H1601"/>
      <c r="I1601"/>
      <c r="J1601"/>
    </row>
    <row r="1602" spans="2:10" hidden="1" x14ac:dyDescent="0.25">
      <c r="B1602"/>
      <c r="C1602"/>
      <c r="D1602"/>
      <c r="E1602"/>
      <c r="F1602"/>
      <c r="G1602"/>
      <c r="H1602"/>
      <c r="I1602"/>
      <c r="J1602"/>
    </row>
    <row r="1603" spans="2:10" hidden="1" x14ac:dyDescent="0.25">
      <c r="B1603"/>
      <c r="C1603"/>
      <c r="D1603"/>
      <c r="E1603"/>
      <c r="F1603"/>
      <c r="G1603"/>
      <c r="H1603"/>
      <c r="I1603"/>
      <c r="J1603"/>
    </row>
    <row r="1604" spans="2:10" hidden="1" x14ac:dyDescent="0.25">
      <c r="B1604"/>
      <c r="C1604"/>
      <c r="D1604"/>
      <c r="E1604"/>
      <c r="F1604"/>
      <c r="G1604"/>
      <c r="H1604"/>
      <c r="I1604"/>
      <c r="J1604"/>
    </row>
    <row r="1605" spans="2:10" hidden="1" x14ac:dyDescent="0.25">
      <c r="B1605"/>
      <c r="C1605"/>
      <c r="D1605"/>
      <c r="E1605"/>
      <c r="F1605"/>
      <c r="G1605"/>
      <c r="H1605"/>
      <c r="I1605"/>
      <c r="J1605"/>
    </row>
    <row r="1606" spans="2:10" hidden="1" x14ac:dyDescent="0.25">
      <c r="B1606"/>
      <c r="C1606"/>
      <c r="D1606"/>
      <c r="E1606"/>
      <c r="F1606"/>
      <c r="G1606"/>
      <c r="H1606"/>
      <c r="I1606"/>
      <c r="J1606"/>
    </row>
    <row r="1607" spans="2:10" hidden="1" x14ac:dyDescent="0.25">
      <c r="B1607"/>
      <c r="C1607"/>
      <c r="D1607"/>
      <c r="E1607"/>
      <c r="F1607"/>
      <c r="G1607"/>
      <c r="H1607"/>
      <c r="I1607"/>
      <c r="J1607"/>
    </row>
    <row r="1608" spans="2:10" hidden="1" x14ac:dyDescent="0.25">
      <c r="B1608"/>
      <c r="C1608"/>
      <c r="D1608"/>
      <c r="E1608"/>
      <c r="F1608"/>
      <c r="G1608"/>
      <c r="H1608"/>
      <c r="I1608"/>
      <c r="J1608"/>
    </row>
    <row r="1609" spans="2:10" hidden="1" x14ac:dyDescent="0.25">
      <c r="B1609"/>
      <c r="C1609"/>
      <c r="D1609"/>
      <c r="E1609"/>
      <c r="F1609"/>
      <c r="G1609"/>
      <c r="H1609"/>
      <c r="I1609"/>
      <c r="J1609"/>
    </row>
    <row r="1610" spans="2:10" hidden="1" x14ac:dyDescent="0.25">
      <c r="B1610"/>
      <c r="C1610"/>
      <c r="D1610"/>
      <c r="E1610"/>
      <c r="F1610"/>
      <c r="G1610"/>
      <c r="H1610"/>
      <c r="I1610"/>
      <c r="J1610"/>
    </row>
    <row r="1611" spans="2:10" hidden="1" x14ac:dyDescent="0.25">
      <c r="B1611"/>
      <c r="C1611"/>
      <c r="D1611"/>
      <c r="E1611"/>
      <c r="F1611"/>
      <c r="G1611"/>
      <c r="H1611"/>
      <c r="I1611"/>
      <c r="J1611"/>
    </row>
    <row r="1612" spans="2:10" hidden="1" x14ac:dyDescent="0.25">
      <c r="B1612"/>
      <c r="C1612"/>
      <c r="D1612"/>
      <c r="E1612"/>
      <c r="F1612"/>
      <c r="G1612"/>
      <c r="H1612"/>
      <c r="I1612"/>
      <c r="J1612"/>
    </row>
    <row r="1613" spans="2:10" hidden="1" x14ac:dyDescent="0.25">
      <c r="B1613"/>
      <c r="C1613"/>
      <c r="D1613"/>
      <c r="E1613"/>
      <c r="F1613"/>
      <c r="G1613"/>
      <c r="H1613"/>
      <c r="I1613"/>
      <c r="J1613"/>
    </row>
    <row r="1614" spans="2:10" hidden="1" x14ac:dyDescent="0.25">
      <c r="B1614"/>
      <c r="C1614"/>
      <c r="D1614"/>
      <c r="E1614"/>
      <c r="F1614"/>
      <c r="G1614"/>
      <c r="H1614"/>
      <c r="I1614"/>
      <c r="J1614"/>
    </row>
    <row r="1615" spans="2:10" hidden="1" x14ac:dyDescent="0.25">
      <c r="B1615"/>
      <c r="C1615"/>
      <c r="D1615"/>
      <c r="E1615"/>
      <c r="F1615"/>
      <c r="G1615"/>
      <c r="H1615"/>
      <c r="I1615"/>
      <c r="J1615"/>
    </row>
    <row r="1616" spans="2:10" hidden="1" x14ac:dyDescent="0.25">
      <c r="B1616"/>
      <c r="C1616"/>
      <c r="D1616"/>
      <c r="E1616"/>
      <c r="F1616"/>
      <c r="G1616"/>
      <c r="H1616"/>
      <c r="I1616"/>
      <c r="J1616"/>
    </row>
    <row r="1617" spans="2:10" hidden="1" x14ac:dyDescent="0.25">
      <c r="B1617"/>
      <c r="C1617"/>
      <c r="D1617"/>
      <c r="E1617"/>
      <c r="F1617"/>
      <c r="G1617"/>
      <c r="H1617"/>
      <c r="I1617"/>
      <c r="J1617"/>
    </row>
    <row r="1618" spans="2:10" hidden="1" x14ac:dyDescent="0.25">
      <c r="B1618"/>
      <c r="C1618"/>
      <c r="D1618"/>
      <c r="E1618"/>
      <c r="F1618"/>
      <c r="G1618"/>
      <c r="H1618"/>
      <c r="I1618"/>
      <c r="J1618"/>
    </row>
    <row r="1619" spans="2:10" hidden="1" x14ac:dyDescent="0.25">
      <c r="B1619"/>
      <c r="C1619"/>
      <c r="D1619"/>
      <c r="E1619"/>
      <c r="F1619"/>
      <c r="G1619"/>
      <c r="H1619"/>
      <c r="I1619"/>
      <c r="J1619"/>
    </row>
    <row r="1620" spans="2:10" hidden="1" x14ac:dyDescent="0.25">
      <c r="B1620"/>
      <c r="C1620"/>
      <c r="D1620"/>
      <c r="E1620"/>
      <c r="F1620"/>
      <c r="G1620"/>
      <c r="H1620"/>
      <c r="I1620"/>
      <c r="J1620"/>
    </row>
    <row r="1621" spans="2:10" hidden="1" x14ac:dyDescent="0.25">
      <c r="B1621"/>
      <c r="C1621"/>
      <c r="D1621"/>
      <c r="E1621"/>
      <c r="F1621"/>
      <c r="G1621"/>
      <c r="H1621"/>
      <c r="I1621"/>
      <c r="J1621"/>
    </row>
    <row r="1622" spans="2:10" hidden="1" x14ac:dyDescent="0.25">
      <c r="B1622"/>
      <c r="C1622"/>
      <c r="D1622"/>
      <c r="E1622"/>
      <c r="F1622"/>
      <c r="G1622"/>
      <c r="H1622"/>
      <c r="I1622"/>
      <c r="J1622"/>
    </row>
    <row r="1623" spans="2:10" hidden="1" x14ac:dyDescent="0.25">
      <c r="B1623"/>
      <c r="C1623"/>
      <c r="D1623"/>
      <c r="E1623"/>
      <c r="F1623"/>
      <c r="G1623"/>
      <c r="H1623"/>
      <c r="I1623"/>
      <c r="J1623"/>
    </row>
    <row r="1624" spans="2:10" hidden="1" x14ac:dyDescent="0.25">
      <c r="B1624"/>
      <c r="C1624"/>
      <c r="D1624"/>
      <c r="E1624"/>
      <c r="F1624"/>
      <c r="G1624"/>
      <c r="H1624"/>
      <c r="I1624"/>
      <c r="J1624"/>
    </row>
    <row r="1625" spans="2:10" hidden="1" x14ac:dyDescent="0.25">
      <c r="B1625"/>
      <c r="C1625"/>
      <c r="D1625"/>
      <c r="E1625"/>
      <c r="F1625"/>
      <c r="G1625"/>
      <c r="H1625"/>
      <c r="I1625"/>
      <c r="J1625"/>
    </row>
    <row r="1626" spans="2:10" hidden="1" x14ac:dyDescent="0.25">
      <c r="B1626"/>
      <c r="C1626"/>
      <c r="D1626"/>
      <c r="E1626"/>
      <c r="F1626"/>
      <c r="G1626"/>
      <c r="H1626"/>
      <c r="I1626"/>
      <c r="J1626"/>
    </row>
    <row r="1627" spans="2:10" hidden="1" x14ac:dyDescent="0.25">
      <c r="B1627"/>
      <c r="C1627"/>
      <c r="D1627"/>
      <c r="E1627"/>
      <c r="F1627"/>
      <c r="G1627"/>
      <c r="H1627"/>
      <c r="I1627"/>
      <c r="J1627"/>
    </row>
    <row r="1628" spans="2:10" hidden="1" x14ac:dyDescent="0.25">
      <c r="B1628"/>
      <c r="C1628"/>
      <c r="D1628"/>
      <c r="E1628"/>
      <c r="F1628"/>
      <c r="G1628"/>
      <c r="H1628"/>
      <c r="I1628"/>
      <c r="J1628"/>
    </row>
    <row r="1629" spans="2:10" hidden="1" x14ac:dyDescent="0.25">
      <c r="B1629"/>
      <c r="C1629"/>
      <c r="D1629"/>
      <c r="E1629"/>
      <c r="F1629"/>
      <c r="G1629"/>
      <c r="H1629"/>
      <c r="I1629"/>
      <c r="J1629"/>
    </row>
    <row r="1630" spans="2:10" hidden="1" x14ac:dyDescent="0.25">
      <c r="B1630"/>
      <c r="C1630"/>
      <c r="D1630"/>
      <c r="E1630"/>
      <c r="F1630"/>
      <c r="G1630"/>
      <c r="H1630"/>
      <c r="I1630"/>
      <c r="J1630"/>
    </row>
    <row r="1631" spans="2:10" hidden="1" x14ac:dyDescent="0.25">
      <c r="B1631"/>
      <c r="C1631"/>
      <c r="D1631"/>
      <c r="E1631"/>
      <c r="F1631"/>
      <c r="G1631"/>
      <c r="H1631"/>
      <c r="I1631"/>
      <c r="J1631"/>
    </row>
    <row r="1632" spans="2:10" hidden="1" x14ac:dyDescent="0.25">
      <c r="B1632"/>
      <c r="C1632"/>
      <c r="D1632"/>
      <c r="E1632"/>
      <c r="F1632"/>
      <c r="G1632"/>
      <c r="H1632"/>
      <c r="I1632"/>
      <c r="J1632"/>
    </row>
    <row r="1633" spans="2:10" hidden="1" x14ac:dyDescent="0.25">
      <c r="B1633"/>
      <c r="C1633"/>
      <c r="D1633"/>
      <c r="E1633"/>
      <c r="F1633"/>
      <c r="G1633"/>
      <c r="H1633"/>
      <c r="I1633"/>
      <c r="J1633"/>
    </row>
    <row r="1634" spans="2:10" hidden="1" x14ac:dyDescent="0.25">
      <c r="B1634"/>
      <c r="C1634"/>
      <c r="D1634"/>
      <c r="E1634"/>
      <c r="F1634"/>
      <c r="G1634"/>
      <c r="H1634"/>
      <c r="I1634"/>
      <c r="J1634"/>
    </row>
    <row r="1635" spans="2:10" hidden="1" x14ac:dyDescent="0.25">
      <c r="B1635"/>
      <c r="C1635"/>
      <c r="D1635"/>
      <c r="E1635"/>
      <c r="F1635"/>
      <c r="G1635"/>
      <c r="H1635"/>
      <c r="I1635"/>
      <c r="J1635"/>
    </row>
    <row r="1636" spans="2:10" hidden="1" x14ac:dyDescent="0.25">
      <c r="B1636"/>
      <c r="C1636"/>
      <c r="D1636"/>
      <c r="E1636"/>
      <c r="F1636"/>
      <c r="G1636"/>
      <c r="H1636"/>
      <c r="I1636"/>
      <c r="J1636"/>
    </row>
    <row r="1637" spans="2:10" hidden="1" x14ac:dyDescent="0.25">
      <c r="B1637"/>
      <c r="C1637"/>
      <c r="D1637"/>
      <c r="E1637"/>
      <c r="F1637"/>
      <c r="G1637"/>
      <c r="H1637"/>
      <c r="I1637"/>
      <c r="J1637"/>
    </row>
    <row r="1638" spans="2:10" hidden="1" x14ac:dyDescent="0.25">
      <c r="B1638"/>
      <c r="C1638"/>
      <c r="D1638"/>
      <c r="E1638"/>
      <c r="F1638"/>
      <c r="G1638"/>
      <c r="H1638"/>
      <c r="I1638"/>
      <c r="J1638"/>
    </row>
    <row r="1639" spans="2:10" hidden="1" x14ac:dyDescent="0.25">
      <c r="B1639"/>
      <c r="C1639"/>
      <c r="D1639"/>
      <c r="E1639"/>
      <c r="F1639"/>
      <c r="G1639"/>
      <c r="H1639"/>
      <c r="I1639"/>
      <c r="J1639"/>
    </row>
    <row r="1640" spans="2:10" hidden="1" x14ac:dyDescent="0.25">
      <c r="B1640"/>
      <c r="C1640"/>
      <c r="D1640"/>
      <c r="E1640"/>
      <c r="F1640"/>
      <c r="G1640"/>
      <c r="H1640"/>
      <c r="I1640"/>
      <c r="J1640"/>
    </row>
    <row r="1641" spans="2:10" hidden="1" x14ac:dyDescent="0.25">
      <c r="B1641"/>
      <c r="C1641"/>
      <c r="D1641"/>
      <c r="E1641"/>
      <c r="F1641"/>
      <c r="G1641"/>
      <c r="H1641"/>
      <c r="I1641"/>
      <c r="J1641"/>
    </row>
    <row r="1642" spans="2:10" hidden="1" x14ac:dyDescent="0.25">
      <c r="B1642"/>
      <c r="C1642"/>
      <c r="D1642"/>
      <c r="E1642"/>
      <c r="F1642"/>
      <c r="G1642"/>
      <c r="H1642"/>
      <c r="I1642"/>
      <c r="J1642"/>
    </row>
    <row r="1643" spans="2:10" hidden="1" x14ac:dyDescent="0.25">
      <c r="B1643"/>
      <c r="C1643"/>
      <c r="D1643"/>
      <c r="E1643"/>
      <c r="F1643"/>
      <c r="G1643"/>
      <c r="H1643"/>
      <c r="I1643"/>
      <c r="J1643"/>
    </row>
    <row r="1644" spans="2:10" hidden="1" x14ac:dyDescent="0.25">
      <c r="B1644"/>
      <c r="C1644"/>
      <c r="D1644"/>
      <c r="E1644"/>
      <c r="F1644"/>
      <c r="G1644"/>
      <c r="H1644"/>
      <c r="I1644"/>
      <c r="J1644"/>
    </row>
    <row r="1645" spans="2:10" hidden="1" x14ac:dyDescent="0.25">
      <c r="B1645"/>
      <c r="C1645"/>
      <c r="D1645"/>
      <c r="E1645"/>
      <c r="F1645"/>
      <c r="G1645"/>
      <c r="H1645"/>
      <c r="I1645"/>
      <c r="J1645"/>
    </row>
    <row r="1646" spans="2:10" hidden="1" x14ac:dyDescent="0.25">
      <c r="B1646"/>
      <c r="C1646"/>
      <c r="D1646"/>
      <c r="E1646"/>
      <c r="F1646"/>
      <c r="G1646"/>
      <c r="H1646"/>
      <c r="I1646"/>
      <c r="J1646"/>
    </row>
    <row r="1647" spans="2:10" hidden="1" x14ac:dyDescent="0.25">
      <c r="B1647"/>
      <c r="C1647"/>
      <c r="D1647"/>
      <c r="E1647"/>
      <c r="F1647"/>
      <c r="G1647"/>
      <c r="H1647"/>
      <c r="I1647"/>
      <c r="J1647"/>
    </row>
    <row r="1648" spans="2:10" hidden="1" x14ac:dyDescent="0.25">
      <c r="B1648"/>
      <c r="C1648"/>
      <c r="D1648"/>
      <c r="E1648"/>
      <c r="F1648"/>
      <c r="G1648"/>
      <c r="H1648"/>
      <c r="I1648"/>
      <c r="J1648"/>
    </row>
    <row r="1649" spans="2:10" hidden="1" x14ac:dyDescent="0.25">
      <c r="B1649"/>
      <c r="C1649"/>
      <c r="D1649"/>
      <c r="E1649"/>
      <c r="F1649"/>
      <c r="G1649"/>
      <c r="H1649"/>
      <c r="I1649"/>
      <c r="J1649"/>
    </row>
    <row r="1650" spans="2:10" hidden="1" x14ac:dyDescent="0.25">
      <c r="B1650"/>
      <c r="C1650"/>
      <c r="D1650"/>
      <c r="E1650"/>
      <c r="F1650"/>
      <c r="G1650"/>
      <c r="H1650"/>
      <c r="I1650"/>
      <c r="J1650"/>
    </row>
    <row r="1651" spans="2:10" hidden="1" x14ac:dyDescent="0.25">
      <c r="B1651"/>
      <c r="C1651"/>
      <c r="D1651"/>
      <c r="E1651"/>
      <c r="F1651"/>
      <c r="G1651"/>
      <c r="H1651"/>
      <c r="I1651"/>
      <c r="J1651"/>
    </row>
    <row r="1652" spans="2:10" hidden="1" x14ac:dyDescent="0.25">
      <c r="B1652"/>
      <c r="C1652"/>
      <c r="D1652"/>
      <c r="E1652"/>
      <c r="F1652"/>
      <c r="G1652"/>
      <c r="H1652"/>
      <c r="I1652"/>
      <c r="J1652"/>
    </row>
    <row r="1653" spans="2:10" hidden="1" x14ac:dyDescent="0.25">
      <c r="B1653"/>
      <c r="C1653"/>
      <c r="D1653"/>
      <c r="E1653"/>
      <c r="F1653"/>
      <c r="G1653"/>
      <c r="H1653"/>
      <c r="I1653"/>
      <c r="J1653"/>
    </row>
    <row r="1654" spans="2:10" hidden="1" x14ac:dyDescent="0.25">
      <c r="B1654"/>
      <c r="C1654"/>
      <c r="D1654"/>
      <c r="E1654"/>
      <c r="F1654"/>
      <c r="G1654"/>
      <c r="H1654"/>
      <c r="I1654"/>
      <c r="J1654"/>
    </row>
    <row r="1655" spans="2:10" hidden="1" x14ac:dyDescent="0.25">
      <c r="B1655"/>
      <c r="C1655"/>
      <c r="D1655"/>
      <c r="E1655"/>
      <c r="F1655"/>
      <c r="G1655"/>
      <c r="H1655"/>
      <c r="I1655"/>
      <c r="J1655"/>
    </row>
    <row r="1656" spans="2:10" hidden="1" x14ac:dyDescent="0.25">
      <c r="B1656"/>
      <c r="C1656"/>
      <c r="D1656"/>
      <c r="E1656"/>
      <c r="F1656"/>
      <c r="G1656"/>
      <c r="H1656"/>
      <c r="I1656"/>
      <c r="J1656"/>
    </row>
    <row r="1657" spans="2:10" hidden="1" x14ac:dyDescent="0.25">
      <c r="B1657"/>
      <c r="C1657"/>
      <c r="D1657"/>
      <c r="E1657"/>
      <c r="F1657"/>
      <c r="G1657"/>
      <c r="H1657"/>
      <c r="I1657"/>
      <c r="J1657"/>
    </row>
    <row r="1658" spans="2:10" hidden="1" x14ac:dyDescent="0.25">
      <c r="B1658"/>
      <c r="C1658"/>
      <c r="D1658"/>
      <c r="E1658"/>
      <c r="F1658"/>
      <c r="G1658"/>
      <c r="H1658"/>
      <c r="I1658"/>
      <c r="J1658"/>
    </row>
    <row r="1659" spans="2:10" hidden="1" x14ac:dyDescent="0.25">
      <c r="B1659"/>
      <c r="C1659"/>
      <c r="D1659"/>
      <c r="E1659"/>
      <c r="F1659"/>
      <c r="G1659"/>
      <c r="H1659"/>
      <c r="I1659"/>
      <c r="J1659"/>
    </row>
    <row r="1660" spans="2:10" hidden="1" x14ac:dyDescent="0.25">
      <c r="B1660"/>
      <c r="C1660"/>
      <c r="D1660"/>
      <c r="E1660"/>
      <c r="F1660"/>
      <c r="G1660"/>
      <c r="H1660"/>
      <c r="I1660"/>
      <c r="J1660"/>
    </row>
    <row r="1661" spans="2:10" hidden="1" x14ac:dyDescent="0.25">
      <c r="B1661"/>
      <c r="C1661"/>
      <c r="D1661"/>
      <c r="E1661"/>
      <c r="F1661"/>
      <c r="G1661"/>
      <c r="H1661"/>
      <c r="I1661"/>
      <c r="J1661"/>
    </row>
    <row r="1662" spans="2:10" hidden="1" x14ac:dyDescent="0.25">
      <c r="B1662"/>
      <c r="C1662"/>
      <c r="D1662"/>
      <c r="E1662"/>
      <c r="F1662"/>
      <c r="G1662"/>
      <c r="H1662"/>
      <c r="I1662"/>
      <c r="J1662"/>
    </row>
    <row r="1663" spans="2:10" hidden="1" x14ac:dyDescent="0.25">
      <c r="B1663"/>
      <c r="C1663"/>
      <c r="D1663"/>
      <c r="E1663"/>
      <c r="F1663"/>
      <c r="G1663"/>
      <c r="H1663"/>
      <c r="I1663"/>
      <c r="J1663"/>
    </row>
    <row r="1664" spans="2:10" hidden="1" x14ac:dyDescent="0.25">
      <c r="B1664"/>
      <c r="C1664"/>
      <c r="D1664"/>
      <c r="E1664"/>
      <c r="F1664"/>
      <c r="G1664"/>
      <c r="H1664"/>
      <c r="I1664"/>
      <c r="J1664"/>
    </row>
    <row r="1665" spans="2:10" hidden="1" x14ac:dyDescent="0.25">
      <c r="B1665"/>
      <c r="C1665"/>
      <c r="D1665"/>
      <c r="E1665"/>
      <c r="F1665"/>
      <c r="G1665"/>
      <c r="H1665"/>
      <c r="I1665"/>
      <c r="J1665"/>
    </row>
    <row r="1666" spans="2:10" hidden="1" x14ac:dyDescent="0.25">
      <c r="B1666"/>
      <c r="C1666"/>
      <c r="D1666"/>
      <c r="E1666"/>
      <c r="F1666"/>
      <c r="G1666"/>
      <c r="H1666"/>
      <c r="I1666"/>
      <c r="J1666"/>
    </row>
    <row r="1667" spans="2:10" hidden="1" x14ac:dyDescent="0.25">
      <c r="B1667"/>
      <c r="C1667"/>
      <c r="D1667"/>
      <c r="E1667"/>
      <c r="F1667"/>
      <c r="G1667"/>
      <c r="H1667"/>
      <c r="I1667"/>
      <c r="J1667"/>
    </row>
    <row r="1668" spans="2:10" hidden="1" x14ac:dyDescent="0.25">
      <c r="B1668"/>
      <c r="C1668"/>
      <c r="D1668"/>
      <c r="E1668"/>
      <c r="F1668"/>
      <c r="G1668"/>
      <c r="H1668"/>
      <c r="I1668"/>
      <c r="J1668"/>
    </row>
    <row r="1669" spans="2:10" hidden="1" x14ac:dyDescent="0.25">
      <c r="B1669"/>
      <c r="C1669"/>
      <c r="D1669"/>
      <c r="E1669"/>
      <c r="F1669"/>
      <c r="G1669"/>
      <c r="H1669"/>
      <c r="I1669"/>
      <c r="J1669"/>
    </row>
    <row r="1670" spans="2:10" hidden="1" x14ac:dyDescent="0.25">
      <c r="B1670"/>
      <c r="C1670"/>
      <c r="D1670"/>
      <c r="E1670"/>
      <c r="F1670"/>
      <c r="G1670"/>
      <c r="H1670"/>
      <c r="I1670"/>
      <c r="J1670"/>
    </row>
    <row r="1671" spans="2:10" hidden="1" x14ac:dyDescent="0.25">
      <c r="B1671"/>
      <c r="C1671"/>
      <c r="D1671"/>
      <c r="E1671"/>
      <c r="F1671"/>
      <c r="G1671"/>
      <c r="H1671"/>
      <c r="I1671"/>
      <c r="J1671"/>
    </row>
    <row r="1672" spans="2:10" hidden="1" x14ac:dyDescent="0.25">
      <c r="B1672"/>
      <c r="C1672"/>
      <c r="D1672"/>
      <c r="E1672"/>
      <c r="F1672"/>
      <c r="G1672"/>
      <c r="H1672"/>
      <c r="I1672"/>
      <c r="J1672"/>
    </row>
    <row r="1673" spans="2:10" hidden="1" x14ac:dyDescent="0.25">
      <c r="B1673"/>
      <c r="C1673"/>
      <c r="D1673"/>
      <c r="E1673"/>
      <c r="F1673"/>
      <c r="G1673"/>
      <c r="H1673"/>
      <c r="I1673"/>
      <c r="J1673"/>
    </row>
    <row r="1674" spans="2:10" hidden="1" x14ac:dyDescent="0.25">
      <c r="B1674"/>
      <c r="C1674"/>
      <c r="D1674"/>
      <c r="E1674"/>
      <c r="F1674"/>
      <c r="G1674"/>
      <c r="H1674"/>
      <c r="I1674"/>
      <c r="J1674"/>
    </row>
  </sheetData>
  <sheetProtection selectLockedCells="1"/>
  <mergeCells count="6">
    <mergeCell ref="B13:G13"/>
    <mergeCell ref="B2:E2"/>
    <mergeCell ref="B3:E3"/>
    <mergeCell ref="B9:E9"/>
    <mergeCell ref="D6:E6"/>
    <mergeCell ref="D5:E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rderHistoryFilter">
                <anchor moveWithCells="1" sizeWithCells="1">
                  <from>
                    <xdr:col>6</xdr:col>
                    <xdr:colOff>180975</xdr:colOff>
                    <xdr:row>9</xdr:row>
                    <xdr:rowOff>85725</xdr:rowOff>
                  </from>
                  <to>
                    <xdr:col>6</xdr:col>
                    <xdr:colOff>1409700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08C932-B20C-4A5B-A9C0-0AE5408A36DB}">
          <x14:formula1>
            <xm:f>'Customer Info'!$A$2:$A$92</xm:f>
          </x14:formula1>
          <xm:sqref>B3:E3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4A20D509-4B38-4C13-9629-147FF7646D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'Customer Dashboard'!L4:O4</xm:f>
              <xm:sqref>K7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EB92FCD2-90EB-4285-A865-6A81E65562A0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D293D9A1-65DD-4D04-A57D-80C55398A42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AF416087-A867-4E35-828C-14F8E70A0A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Customer Info</vt:lpstr>
      <vt:lpstr>Order Info</vt:lpstr>
      <vt:lpstr>Customer Dashboard</vt:lpstr>
      <vt:lpstr>'Customer Dashboard'!Criteria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PewFamilyOffice01</dc:creator>
  <cp:lastModifiedBy>Doris Mba</cp:lastModifiedBy>
  <dcterms:created xsi:type="dcterms:W3CDTF">2017-10-12T19:45:47Z</dcterms:created>
  <dcterms:modified xsi:type="dcterms:W3CDTF">2025-06-16T11:25:32Z</dcterms:modified>
</cp:coreProperties>
</file>